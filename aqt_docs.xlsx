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QTAPP\aqtsvr\"/>
    </mc:Choice>
  </mc:AlternateContent>
  <bookViews>
    <workbookView xWindow="0" yWindow="0" windowWidth="28380" windowHeight="11325" firstSheet="3" activeTab="10"/>
  </bookViews>
  <sheets>
    <sheet name="사용법" sheetId="4" r:id="rId1"/>
    <sheet name="테이블목록" sheetId="1" r:id="rId2"/>
    <sheet name="작업순서" sheetId="6" r:id="rId3"/>
    <sheet name="aqt web" sheetId="7" r:id="rId4"/>
    <sheet name="주요테이블" sheetId="5" r:id="rId5"/>
    <sheet name="프로그램" sheetId="2" r:id="rId6"/>
    <sheet name="tcp_http실행구조" sheetId="10" r:id="rId7"/>
    <sheet name="tmax실행구조" sheetId="8" r:id="rId8"/>
    <sheet name="기타환경변수" sheetId="3" r:id="rId9"/>
    <sheet name="Sheet1" sheetId="9" r:id="rId10"/>
    <sheet name="BC" sheetId="13" r:id="rId11"/>
    <sheet name="Sheet3" sheetId="11" r:id="rId12"/>
    <sheet name="Sheet2" sheetId="12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3" l="1"/>
  <c r="D31" i="13"/>
  <c r="D28" i="13"/>
  <c r="D25" i="13"/>
  <c r="I23" i="13"/>
  <c r="H23" i="13"/>
  <c r="G23" i="13"/>
  <c r="F23" i="13"/>
  <c r="E23" i="13"/>
  <c r="J23" i="13" l="1"/>
  <c r="E21" i="11"/>
  <c r="F21" i="11"/>
  <c r="G21" i="11"/>
  <c r="H21" i="11"/>
  <c r="I21" i="11"/>
  <c r="J21" i="11"/>
</calcChain>
</file>

<file path=xl/sharedStrings.xml><?xml version="1.0" encoding="utf-8"?>
<sst xmlns="http://schemas.openxmlformats.org/spreadsheetml/2006/main" count="644" uniqueCount="509">
  <si>
    <t>tapphosts</t>
  </si>
  <si>
    <t>tapplication</t>
  </si>
  <si>
    <t>tconfig</t>
  </si>
  <si>
    <t>texecjob</t>
  </si>
  <si>
    <t>thostmap</t>
  </si>
  <si>
    <t>tlevel</t>
  </si>
  <si>
    <t>tloaddata</t>
  </si>
  <si>
    <t>tmaster</t>
  </si>
  <si>
    <t>trequest</t>
  </si>
  <si>
    <t>tservice</t>
  </si>
  <si>
    <t>ttasksum</t>
  </si>
  <si>
    <t>ttcppacket</t>
  </si>
  <si>
    <t>vtcppacket</t>
  </si>
  <si>
    <t>AP그룹별 대상호스트 지정</t>
    <phoneticPr fontId="1" type="noConversion"/>
  </si>
  <si>
    <t>AP 그룹</t>
    <phoneticPr fontId="1" type="noConversion"/>
  </si>
  <si>
    <t>AQT 작업 (전문생성, 전문송신)</t>
    <phoneticPr fontId="1" type="noConversion"/>
  </si>
  <si>
    <t>ASIS 호스트 -&gt; TOBE 호스트 매핑</t>
    <phoneticPr fontId="1" type="noConversion"/>
  </si>
  <si>
    <t xml:space="preserve">테스트 단계 (단위, 통합, 정합성) </t>
    <phoneticPr fontId="1" type="noConversion"/>
  </si>
  <si>
    <t>패킷수집데이터</t>
    <phoneticPr fontId="1" type="noConversion"/>
  </si>
  <si>
    <t>테스트 id</t>
    <phoneticPr fontId="1" type="noConversion"/>
  </si>
  <si>
    <t>건별 재송신 패킷id</t>
    <phoneticPr fontId="1" type="noConversion"/>
  </si>
  <si>
    <t>서비스 또는 URI 정보</t>
    <phoneticPr fontId="1" type="noConversion"/>
  </si>
  <si>
    <t>AP별 건수</t>
    <phoneticPr fontId="1" type="noConversion"/>
  </si>
  <si>
    <t>테스트 대상 패킷 (tloaddata 로부터 선택복제)</t>
    <phoneticPr fontId="1" type="noConversion"/>
  </si>
  <si>
    <t>ttcppacket 가상테이블 (ip로 ap구분)</t>
    <phoneticPr fontId="1" type="noConversion"/>
  </si>
  <si>
    <t>테이블명</t>
    <phoneticPr fontId="1" type="noConversion"/>
  </si>
  <si>
    <t>내용</t>
    <phoneticPr fontId="1" type="noConversion"/>
  </si>
  <si>
    <t>구분</t>
    <phoneticPr fontId="1" type="noConversion"/>
  </si>
  <si>
    <t>tmax.env</t>
  </si>
  <si>
    <t>aqt_kill.sh</t>
  </si>
  <si>
    <t>aqt_reqsub</t>
  </si>
  <si>
    <t>aqt_rnsend2</t>
  </si>
  <si>
    <t>aqt_sendM</t>
  </si>
  <si>
    <t>aqt_sendM2</t>
  </si>
  <si>
    <t>aqt_sendS</t>
  </si>
  <si>
    <t>전문송신 테스트 실행</t>
    <phoneticPr fontId="1" type="noConversion"/>
  </si>
  <si>
    <t>테스트 작업 감지 백그라운드</t>
    <phoneticPr fontId="1" type="noConversion"/>
  </si>
  <si>
    <t>백그라운드 작업 종료</t>
    <phoneticPr fontId="1" type="noConversion"/>
  </si>
  <si>
    <t>aqt_request 가 큐에 등록한 패킷 전송</t>
    <phoneticPr fontId="1" type="noConversion"/>
  </si>
  <si>
    <t>사용자가 재전송 요청한 패킷 큐에 등록 (aqt_reqsub 실행)</t>
    <phoneticPr fontId="1" type="noConversion"/>
  </si>
  <si>
    <t>네트워크 패키발생 즉시 송신 (fork 사용)</t>
    <phoneticPr fontId="1" type="noConversion"/>
  </si>
  <si>
    <t>aqt_sendS 가 큐에 등록한 패킷전송</t>
    <phoneticPr fontId="1" type="noConversion"/>
  </si>
  <si>
    <t>aqt_sendS 가 큐에 등록한 패킷전송 ( MultiContext 로 두개의 서버에 동시 수행)</t>
    <phoneticPr fontId="1" type="noConversion"/>
  </si>
  <si>
    <t>aqt_child.sh</t>
    <phoneticPr fontId="1" type="noConversion"/>
  </si>
  <si>
    <t>실시간 패킷을 받음</t>
    <phoneticPr fontId="1" type="noConversion"/>
  </si>
  <si>
    <t>jsbin</t>
    <phoneticPr fontId="1" type="noConversion"/>
  </si>
  <si>
    <t>프로그램ID</t>
    <phoneticPr fontId="1" type="noConversion"/>
  </si>
  <si>
    <t>내용</t>
    <phoneticPr fontId="1" type="noConversion"/>
  </si>
  <si>
    <t>aqt_execJob.js</t>
  </si>
  <si>
    <t>aqt_resend.js</t>
  </si>
  <si>
    <t>aqt_ToDb.js</t>
  </si>
  <si>
    <t>jsbin/db</t>
    <phoneticPr fontId="1" type="noConversion"/>
  </si>
  <si>
    <t>jsbin/lib</t>
    <phoneticPr fontId="1" type="noConversion"/>
  </si>
  <si>
    <r>
      <t>module</t>
    </r>
    <r>
      <rPr>
        <sz val="11"/>
        <color rgb="FFD4D4D4"/>
        <rFont val="Consolas"/>
        <family val="3"/>
      </rPr>
      <t>.</t>
    </r>
    <r>
      <rPr>
        <sz val="11"/>
        <color rgb="FF4EC9B0"/>
        <rFont val="Consolas"/>
        <family val="3"/>
      </rPr>
      <t>exports</t>
    </r>
    <r>
      <rPr>
        <sz val="11"/>
        <color rgb="FFD4D4D4"/>
        <rFont val="Consolas"/>
        <family val="3"/>
      </rPr>
      <t xml:space="preserve"> = {</t>
    </r>
  </si>
  <si>
    <t>};</t>
  </si>
  <si>
    <t>cap_info.js</t>
  </si>
  <si>
    <t>cap_info.js</t>
    <phoneticPr fontId="1" type="noConversion"/>
  </si>
  <si>
    <r>
      <t xml:space="preserve">    </t>
    </r>
    <r>
      <rPr>
        <sz val="11"/>
        <color rgb="FF9CDCFE"/>
        <rFont val="Consolas"/>
        <family val="3"/>
      </rPr>
      <t>local:</t>
    </r>
    <r>
      <rPr>
        <sz val="11"/>
        <color rgb="FFD4D4D4"/>
        <rFont val="Consolas"/>
        <family val="3"/>
      </rPr>
      <t xml:space="preserve"> { </t>
    </r>
    <r>
      <rPr>
        <sz val="11"/>
        <color rgb="FF6A9955"/>
        <rFont val="Consolas"/>
        <family val="3"/>
      </rPr>
      <t>// localhost</t>
    </r>
  </si>
  <si>
    <t>    },</t>
  </si>
  <si>
    <r>
      <t xml:space="preserve">    </t>
    </r>
    <r>
      <rPr>
        <sz val="11"/>
        <color rgb="FF9CDCFE"/>
        <rFont val="Consolas"/>
        <family val="3"/>
      </rPr>
      <t>real:</t>
    </r>
    <r>
      <rPr>
        <sz val="11"/>
        <color rgb="FFD4D4D4"/>
        <rFont val="Consolas"/>
        <family val="3"/>
      </rPr>
      <t xml:space="preserve"> { </t>
    </r>
    <r>
      <rPr>
        <sz val="11"/>
        <color rgb="FF6A9955"/>
        <rFont val="Consolas"/>
        <family val="3"/>
      </rPr>
      <t>// real server db info</t>
    </r>
  </si>
  <si>
    <r>
      <t xml:space="preserve">    </t>
    </r>
    <r>
      <rPr>
        <sz val="11"/>
        <color rgb="FF9CDCFE"/>
        <rFont val="Consolas"/>
        <family val="3"/>
      </rPr>
      <t>dev:</t>
    </r>
    <r>
      <rPr>
        <sz val="11"/>
        <color rgb="FFD4D4D4"/>
        <rFont val="Consolas"/>
        <family val="3"/>
      </rPr>
      <t xml:space="preserve"> { </t>
    </r>
    <r>
      <rPr>
        <sz val="11"/>
        <color rgb="FF6A9955"/>
        <rFont val="Consolas"/>
        <family val="3"/>
      </rPr>
      <t>// dev server db info</t>
    </r>
  </si>
  <si>
    <t>    }</t>
  </si>
  <si>
    <t>  };</t>
  </si>
  <si>
    <t>dbinfo.js</t>
    <phoneticPr fontId="1" type="noConversion"/>
  </si>
  <si>
    <r>
      <t xml:space="preserve">      </t>
    </r>
    <r>
      <rPr>
        <sz val="11"/>
        <color rgb="FF9CDCFE"/>
        <rFont val="Consolas"/>
        <family val="3"/>
      </rPr>
      <t>host:</t>
    </r>
    <r>
      <rPr>
        <sz val="11"/>
        <color rgb="FFD4D4D4"/>
        <rFont val="Consolas"/>
        <family val="3"/>
      </rPr>
      <t xml:space="preserve"> </t>
    </r>
    <r>
      <rPr>
        <sz val="11"/>
        <color rgb="FFCE9178"/>
        <rFont val="Consolas"/>
        <family val="3"/>
      </rPr>
      <t>'localhost'</t>
    </r>
    <r>
      <rPr>
        <sz val="11"/>
        <color rgb="FFD4D4D4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</si>
  <si>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port: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process</t>
    </r>
    <r>
      <rPr>
        <sz val="11"/>
        <color rgb="FFD4D4D4"/>
        <rFont val="Consolas"/>
        <family val="3"/>
      </rPr>
      <t>.</t>
    </r>
    <r>
      <rPr>
        <sz val="11"/>
        <color rgb="FF9CDCFE"/>
        <rFont val="Consolas"/>
        <family val="3"/>
      </rPr>
      <t>env</t>
    </r>
    <r>
      <rPr>
        <sz val="11"/>
        <color rgb="FFD4D4D4"/>
        <rFont val="Consolas"/>
        <family val="3"/>
      </rPr>
      <t>.</t>
    </r>
    <r>
      <rPr>
        <sz val="11"/>
        <color rgb="FF4FC1FF"/>
        <rFont val="Consolas"/>
        <family val="3"/>
      </rPr>
      <t>AQTDBPORT</t>
    </r>
    <r>
      <rPr>
        <sz val="11"/>
        <color rgb="FFD4D4D4"/>
        <rFont val="Consolas"/>
        <family val="3"/>
      </rPr>
      <t xml:space="preserve">  ||</t>
    </r>
    <r>
      <rPr>
        <sz val="11"/>
        <color rgb="FFCE9178"/>
        <rFont val="Consolas"/>
        <family val="3"/>
      </rPr>
      <t>'3306'</t>
    </r>
    <r>
      <rPr>
        <sz val="11"/>
        <color rgb="FFD4D4D4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</si>
  <si>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database: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process</t>
    </r>
    <r>
      <rPr>
        <sz val="11"/>
        <color rgb="FFD4D4D4"/>
        <rFont val="Consolas"/>
        <family val="3"/>
      </rPr>
      <t>.</t>
    </r>
    <r>
      <rPr>
        <sz val="11"/>
        <color rgb="FF9CDCFE"/>
        <rFont val="Consolas"/>
        <family val="3"/>
      </rPr>
      <t>env</t>
    </r>
    <r>
      <rPr>
        <sz val="11"/>
        <color rgb="FFD4D4D4"/>
        <rFont val="Consolas"/>
        <family val="3"/>
      </rPr>
      <t>.</t>
    </r>
    <r>
      <rPr>
        <sz val="11"/>
        <color rgb="FF4FC1FF"/>
        <rFont val="Consolas"/>
        <family val="3"/>
      </rPr>
      <t>AQTDBNAME</t>
    </r>
    <r>
      <rPr>
        <sz val="11"/>
        <color rgb="FFD4D4D4"/>
        <rFont val="Consolas"/>
        <family val="3"/>
      </rPr>
      <t xml:space="preserve"> || </t>
    </r>
    <r>
      <rPr>
        <sz val="11"/>
        <color rgb="FFCE9178"/>
        <rFont val="Consolas"/>
        <family val="3"/>
      </rPr>
      <t>'aqtdb2'</t>
    </r>
  </si>
  <si>
    <r>
      <t xml:space="preserve">      </t>
    </r>
    <r>
      <rPr>
        <sz val="11"/>
        <color rgb="FF9CDCFE"/>
        <rFont val="Consolas"/>
        <family val="3"/>
      </rPr>
      <t>host: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process</t>
    </r>
    <r>
      <rPr>
        <sz val="11"/>
        <color rgb="FFD4D4D4"/>
        <rFont val="Consolas"/>
        <family val="3"/>
      </rPr>
      <t>.</t>
    </r>
    <r>
      <rPr>
        <sz val="11"/>
        <color rgb="FF9CDCFE"/>
        <rFont val="Consolas"/>
        <family val="3"/>
      </rPr>
      <t>env</t>
    </r>
    <r>
      <rPr>
        <sz val="11"/>
        <color rgb="FFD4D4D4"/>
        <rFont val="Consolas"/>
        <family val="3"/>
      </rPr>
      <t>.</t>
    </r>
    <r>
      <rPr>
        <sz val="11"/>
        <color rgb="FF4FC1FF"/>
        <rFont val="Consolas"/>
        <family val="3"/>
      </rPr>
      <t>AQTDBIP</t>
    </r>
    <r>
      <rPr>
        <sz val="11"/>
        <color rgb="FFD4D4D4"/>
        <rFont val="Consolas"/>
        <family val="3"/>
      </rPr>
      <t xml:space="preserve">  || </t>
    </r>
    <r>
      <rPr>
        <sz val="11"/>
        <color rgb="FFCE9178"/>
        <rFont val="Consolas"/>
        <family val="3"/>
      </rPr>
      <t>'192.168.0.27'</t>
    </r>
    <r>
      <rPr>
        <sz val="11"/>
        <color rgb="FFD4D4D4"/>
        <rFont val="Consolas"/>
        <family val="3"/>
      </rPr>
      <t>,</t>
    </r>
  </si>
  <si>
    <t>프로그램 아규먼트</t>
    <phoneticPr fontId="1" type="noConversion"/>
  </si>
  <si>
    <t>등록된 작업을 실행하는 백그라운드 프로세스</t>
    <phoneticPr fontId="1" type="noConversion"/>
  </si>
  <si>
    <t>개별 재전송 (http)</t>
    <phoneticPr fontId="1" type="noConversion"/>
  </si>
  <si>
    <t>마리아db 접속정보</t>
    <phoneticPr fontId="1" type="noConversion"/>
  </si>
  <si>
    <t>마리아db 접속 pool</t>
    <phoneticPr fontId="1" type="noConversion"/>
  </si>
  <si>
    <t>pool 의 개수는 connectionLimit: 10 조정</t>
    <phoneticPr fontId="1" type="noConversion"/>
  </si>
  <si>
    <t>http 수집</t>
    <phoneticPr fontId="1" type="noConversion"/>
  </si>
  <si>
    <t>tcp 수집</t>
    <phoneticPr fontId="1" type="noConversion"/>
  </si>
  <si>
    <t>tmax 수집</t>
    <phoneticPr fontId="1" type="noConversion"/>
  </si>
  <si>
    <r>
      <t xml:space="preserve">      </t>
    </r>
    <r>
      <rPr>
        <sz val="11"/>
        <color rgb="FF9CDCFE"/>
        <rFont val="Consolas"/>
        <family val="3"/>
      </rPr>
      <t>user: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process</t>
    </r>
    <r>
      <rPr>
        <sz val="11"/>
        <color rgb="FFD4D4D4"/>
        <rFont val="Consolas"/>
        <family val="3"/>
      </rPr>
      <t>.</t>
    </r>
    <r>
      <rPr>
        <sz val="11"/>
        <color rgb="FF9CDCFE"/>
        <rFont val="Consolas"/>
        <family val="3"/>
      </rPr>
      <t>env</t>
    </r>
    <r>
      <rPr>
        <sz val="11"/>
        <color rgb="FFD4D4D4"/>
        <rFont val="Consolas"/>
        <family val="3"/>
      </rPr>
      <t>.</t>
    </r>
    <r>
      <rPr>
        <sz val="11"/>
        <color rgb="FF4FC1FF"/>
        <rFont val="Consolas"/>
        <family val="3"/>
      </rPr>
      <t>AQTDBUSER</t>
    </r>
    <r>
      <rPr>
        <sz val="11"/>
        <color rgb="FFD4D4D4"/>
        <rFont val="Consolas"/>
        <family val="3"/>
      </rPr>
      <t xml:space="preserve"> || </t>
    </r>
    <r>
      <rPr>
        <sz val="11"/>
        <color rgb="FFCE9178"/>
        <rFont val="Consolas"/>
        <family val="3"/>
      </rPr>
      <t>'aqtdb'</t>
    </r>
    <r>
      <rPr>
        <sz val="11"/>
        <color rgb="FFD4D4D4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</si>
  <si>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password: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process</t>
    </r>
    <r>
      <rPr>
        <sz val="11"/>
        <color rgb="FFD4D4D4"/>
        <rFont val="Consolas"/>
        <family val="3"/>
      </rPr>
      <t>.</t>
    </r>
    <r>
      <rPr>
        <sz val="11"/>
        <color rgb="FF9CDCFE"/>
        <rFont val="Consolas"/>
        <family val="3"/>
      </rPr>
      <t>env</t>
    </r>
    <r>
      <rPr>
        <sz val="11"/>
        <color rgb="FFD4D4D4"/>
        <rFont val="Consolas"/>
        <family val="3"/>
      </rPr>
      <t>.</t>
    </r>
    <r>
      <rPr>
        <sz val="11"/>
        <color rgb="FF4FC1FF"/>
        <rFont val="Consolas"/>
        <family val="3"/>
      </rPr>
      <t>AQTDBPASS</t>
    </r>
    <r>
      <rPr>
        <sz val="11"/>
        <color rgb="FFD4D4D4"/>
        <rFont val="Consolas"/>
        <family val="3"/>
      </rPr>
      <t xml:space="preserve"> || </t>
    </r>
    <r>
      <rPr>
        <sz val="11"/>
        <color rgb="FFCE9178"/>
        <rFont val="Consolas"/>
        <family val="3"/>
      </rPr>
      <t>'Dawinit1!'</t>
    </r>
    <r>
      <rPr>
        <sz val="11"/>
        <color rgb="FFD4D4D4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</si>
  <si>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host: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process</t>
    </r>
    <r>
      <rPr>
        <sz val="11"/>
        <color rgb="FFD4D4D4"/>
        <rFont val="Consolas"/>
        <family val="3"/>
      </rPr>
      <t>.</t>
    </r>
    <r>
      <rPr>
        <sz val="11"/>
        <color rgb="FF9CDCFE"/>
        <rFont val="Consolas"/>
        <family val="3"/>
      </rPr>
      <t>env</t>
    </r>
    <r>
      <rPr>
        <sz val="11"/>
        <color rgb="FFD4D4D4"/>
        <rFont val="Consolas"/>
        <family val="3"/>
      </rPr>
      <t>.</t>
    </r>
    <r>
      <rPr>
        <sz val="11"/>
        <color rgb="FF4FC1FF"/>
        <rFont val="Consolas"/>
        <family val="3"/>
      </rPr>
      <t>AQTDBIP</t>
    </r>
    <r>
      <rPr>
        <sz val="11"/>
        <color rgb="FFD4D4D4"/>
        <rFont val="Consolas"/>
        <family val="3"/>
      </rPr>
      <t xml:space="preserve">  ?? </t>
    </r>
    <r>
      <rPr>
        <sz val="11"/>
        <color rgb="FFCE9178"/>
        <rFont val="Consolas"/>
        <family val="3"/>
      </rPr>
      <t>'localhost'</t>
    </r>
    <r>
      <rPr>
        <sz val="11"/>
        <color rgb="FFD4D4D4"/>
        <rFont val="Consolas"/>
        <family val="3"/>
      </rPr>
      <t>,</t>
    </r>
  </si>
  <si>
    <t>cbin</t>
    <phoneticPr fontId="1" type="noConversion"/>
  </si>
  <si>
    <t>bin</t>
    <phoneticPr fontId="1" type="noConversion"/>
  </si>
  <si>
    <t>서버 백그라운드 프로그램 기동 및 중지</t>
    <phoneticPr fontId="1" type="noConversion"/>
  </si>
  <si>
    <t>start, stop, restart</t>
    <phoneticPr fontId="1" type="noConversion"/>
  </si>
  <si>
    <t>aqtconn</t>
    <phoneticPr fontId="1" type="noConversion"/>
  </si>
  <si>
    <t>마리아db 외부 sql 실행</t>
    <phoneticPr fontId="1" type="noConversion"/>
  </si>
  <si>
    <t>aqtconn "sql명령"</t>
    <phoneticPr fontId="1" type="noConversion"/>
  </si>
  <si>
    <t>aqtenv.sh</t>
    <phoneticPr fontId="1" type="noConversion"/>
  </si>
  <si>
    <t>AQT 환경변수 설정</t>
    <phoneticPr fontId="1" type="noConversion"/>
  </si>
  <si>
    <t>aqtDump.sh</t>
    <phoneticPr fontId="1" type="noConversion"/>
  </si>
  <si>
    <t>dbinfo.js</t>
    <phoneticPr fontId="1" type="noConversion"/>
  </si>
  <si>
    <t>db_con.js</t>
    <phoneticPr fontId="1" type="noConversion"/>
  </si>
  <si>
    <t>db_con1.js</t>
    <phoneticPr fontId="1" type="noConversion"/>
  </si>
  <si>
    <t xml:space="preserve">마리아db 접속 connection </t>
    <phoneticPr fontId="1" type="noConversion"/>
  </si>
  <si>
    <t># AQTDBIP=localhost</t>
  </si>
  <si>
    <t># AQTDBPORT=3306</t>
  </si>
  <si>
    <t># AQTDBNAME=aqtdb2</t>
  </si>
  <si>
    <t># AQTDBUSER=</t>
  </si>
  <si>
    <t># AQTDBPASS=</t>
  </si>
  <si>
    <t>AQTLOG=$AQTHOME/logs</t>
  </si>
  <si>
    <t>AQTHOME=</t>
    <phoneticPr fontId="1" type="noConversion"/>
  </si>
  <si>
    <t>bin/aqtenv.sh</t>
    <phoneticPr fontId="1" type="noConversion"/>
  </si>
  <si>
    <t>프로그램설치디렉토리</t>
    <phoneticPr fontId="1" type="noConversion"/>
  </si>
  <si>
    <t>tmax 테스트환경일 경우 'TMAX' 설정</t>
    <phoneticPr fontId="1" type="noConversion"/>
  </si>
  <si>
    <t>관리자 비밀번호, 기본엔코딩</t>
    <phoneticPr fontId="1" type="noConversion"/>
  </si>
  <si>
    <t>aqtctl</t>
    <phoneticPr fontId="1" type="noConversion"/>
  </si>
  <si>
    <t>AQT 프로그램 기동</t>
    <phoneticPr fontId="1" type="noConversion"/>
  </si>
  <si>
    <t>AQT 프로그램 중지</t>
    <phoneticPr fontId="1" type="noConversion"/>
  </si>
  <si>
    <t>AQT 프로그램 재시작</t>
    <phoneticPr fontId="1" type="noConversion"/>
  </si>
  <si>
    <t>* 환경변수 AQTHOME 이 정의되고 $AQTHOME/bin 을 PATH에 등록한후</t>
    <phoneticPr fontId="1" type="noConversion"/>
  </si>
  <si>
    <t>* DB 접속정보 설정</t>
    <phoneticPr fontId="1" type="noConversion"/>
  </si>
  <si>
    <t>$AQTHOME/bin/aqtenv.sh 참조</t>
    <phoneticPr fontId="1" type="noConversion"/>
  </si>
  <si>
    <t>log파일  저장위치 ( 백그라운드 프로그램이 기록 )</t>
    <phoneticPr fontId="1" type="noConversion"/>
  </si>
  <si>
    <t>동일서버에 DB를 설치했다면 불필요</t>
    <phoneticPr fontId="1" type="noConversion"/>
  </si>
  <si>
    <t>database 명</t>
    <phoneticPr fontId="1" type="noConversion"/>
  </si>
  <si>
    <t>위 database에 권한부여된 db user</t>
    <phoneticPr fontId="1" type="noConversion"/>
  </si>
  <si>
    <t>$AQTHOME/csrc 에서 
  make clean;  make ;</t>
    <phoneticPr fontId="1" type="noConversion"/>
  </si>
  <si>
    <t>* 백그라운드 기동 및 중지</t>
    <phoneticPr fontId="1" type="noConversion"/>
  </si>
  <si>
    <t>* tcpdump 로 데이터 수집</t>
    <phoneticPr fontId="1" type="noConversion"/>
  </si>
  <si>
    <t>tcpdump -C 파일크기 -W 파일갯수 -w 저장할파일명  'tcp &amp;&amp; tcp[13]&amp;16 != 0 &amp;&amp; net 대상ip &amp;&amp; port ( 대상port : port가 여러개일경우 or 사용 ) '</t>
    <phoneticPr fontId="1" type="noConversion"/>
  </si>
  <si>
    <t>-C 파일크기에 도달하면 파일명뒤에 숫자를 붙여 새로운 파일로 기록한다.  -W 파일갯수에 의해 해당수에 도달하면 종료됨</t>
    <phoneticPr fontId="1" type="noConversion"/>
  </si>
  <si>
    <t>ex)  tcpdump -w tdump01.pcap -C100 -W 10  'tcp &amp;&amp; tcp[13]&amp;16 != 0 &amp;&amp; net 192.168.1 &amp;&amp; port ( 80 or 8888 )'</t>
    <phoneticPr fontId="1" type="noConversion"/>
  </si>
  <si>
    <t xml:space="preserve"> -- 위의 경우 tdump01.pcap0 ~ tdump.pcap9 까지 10개의 파일이 가각 100Mb 크기로 만들어진다.</t>
    <phoneticPr fontId="1" type="noConversion"/>
  </si>
  <si>
    <t>* tcpdump 파일 AQTDB로 변환</t>
    <phoneticPr fontId="1" type="noConversion"/>
  </si>
  <si>
    <t>$AQTHOME/jsbin 에서 수행함</t>
    <phoneticPr fontId="1" type="noConversion"/>
  </si>
  <si>
    <t>a) pcap파일에서 가져오기</t>
    <phoneticPr fontId="1" type="noConversion"/>
  </si>
  <si>
    <t xml:space="preserve">  </t>
    <phoneticPr fontId="1" type="noConversion"/>
  </si>
  <si>
    <t>dstip : 수집대상 IP 지정 ( 2개이상인 경우 '|' 으로 분리 지정 -&gt; 192.1.1.1|10.2.3.4 )</t>
    <phoneticPr fontId="1" type="noConversion"/>
  </si>
  <si>
    <t>dstport : 수집대상 서버의 port 지정 ( 2개이상인 경우 '|' 으로 분리 지정 -&gt; 10003|10004</t>
    <phoneticPr fontId="1" type="noConversion"/>
  </si>
  <si>
    <t>* dstip와 dsport는 수신대상의 기준이 됨</t>
    <phoneticPr fontId="1" type="noConversion"/>
  </si>
  <si>
    <t xml:space="preserve"> 1. cap_info 파일</t>
    <phoneticPr fontId="1" type="noConversion"/>
  </si>
  <si>
    <t>cdate</t>
  </si>
  <si>
    <t>pkey</t>
  </si>
  <si>
    <t>int(10) unsigned</t>
  </si>
  <si>
    <t>cmpid</t>
  </si>
  <si>
    <t>tcode</t>
  </si>
  <si>
    <t>varchar(50)</t>
  </si>
  <si>
    <t>o_stime</t>
  </si>
  <si>
    <t>datetime(6)</t>
  </si>
  <si>
    <t>stime</t>
  </si>
  <si>
    <t>rtime</t>
  </si>
  <si>
    <t>수신시간</t>
  </si>
  <si>
    <t>svctime</t>
  </si>
  <si>
    <t>double(22,3)</t>
  </si>
  <si>
    <t>elapsed</t>
  </si>
  <si>
    <t>srcip</t>
  </si>
  <si>
    <t>varchar(30)</t>
  </si>
  <si>
    <t>소스ip</t>
  </si>
  <si>
    <t>srcport</t>
  </si>
  <si>
    <t>소스port</t>
  </si>
  <si>
    <t>dstip</t>
  </si>
  <si>
    <t>목적지ip</t>
  </si>
  <si>
    <t>dstport</t>
  </si>
  <si>
    <t>목적지port</t>
  </si>
  <si>
    <t>proto</t>
  </si>
  <si>
    <t>char(1)</t>
  </si>
  <si>
    <t>method</t>
  </si>
  <si>
    <t>varchar(20)</t>
  </si>
  <si>
    <t>uri</t>
  </si>
  <si>
    <t>varchar(512)</t>
  </si>
  <si>
    <t>seqno</t>
  </si>
  <si>
    <t>ackno</t>
  </si>
  <si>
    <t>rcode</t>
  </si>
  <si>
    <t>sflag</t>
  </si>
  <si>
    <t>rhead</t>
  </si>
  <si>
    <t>varchar(8192)</t>
  </si>
  <si>
    <t>errinfo</t>
  </si>
  <si>
    <t>varchar(200)</t>
  </si>
  <si>
    <t>slen</t>
  </si>
  <si>
    <t>송신데이터길이</t>
  </si>
  <si>
    <t>rlen</t>
  </si>
  <si>
    <t>수신데이터길이</t>
  </si>
  <si>
    <t>sdata</t>
  </si>
  <si>
    <t>mediumblob</t>
  </si>
  <si>
    <t>송신데이터</t>
  </si>
  <si>
    <t>rdata</t>
  </si>
  <si>
    <t>수신데이터</t>
  </si>
  <si>
    <t>생성일시</t>
  </si>
  <si>
    <t>칼럼명</t>
    <phoneticPr fontId="1" type="noConversion"/>
  </si>
  <si>
    <t>type</t>
  </si>
  <si>
    <t>type</t>
    <phoneticPr fontId="1" type="noConversion"/>
  </si>
  <si>
    <t>내용설명</t>
    <phoneticPr fontId="1" type="noConversion"/>
  </si>
  <si>
    <t>자동증가 primary key</t>
    <phoneticPr fontId="1" type="noConversion"/>
  </si>
  <si>
    <t>tloaddata의 pkey 값으로 원본비교시 사용</t>
    <phoneticPr fontId="1" type="noConversion"/>
  </si>
  <si>
    <t>tmaster 에 정의된 테스트id ( tmaster.code)</t>
    <phoneticPr fontId="1" type="noConversion"/>
  </si>
  <si>
    <t>원 송신시간: 테스트후에도 변경없음</t>
    <phoneticPr fontId="1" type="noConversion"/>
  </si>
  <si>
    <t>송신시간 : 테스트전에는 위 원송신시간과 동일</t>
    <phoneticPr fontId="1" type="noConversion"/>
  </si>
  <si>
    <t>소요시간 : stime 과 rtime의 차이값으로 가상 칼럼</t>
    <phoneticPr fontId="1" type="noConversion"/>
  </si>
  <si>
    <t>소요시간 : stime 과 rtime의 차이값</t>
    <phoneticPr fontId="1" type="noConversion"/>
  </si>
  <si>
    <t xml:space="preserve">0.tcp 1.http </t>
    <phoneticPr fontId="1" type="noConversion"/>
  </si>
  <si>
    <t>http 패키시  GET,POST,DELETE 등의 method</t>
    <phoneticPr fontId="1" type="noConversion"/>
  </si>
  <si>
    <t>tmax 는 서비스, http 일경우 url</t>
    <phoneticPr fontId="1" type="noConversion"/>
  </si>
  <si>
    <t>패킷의 ack번호</t>
    <phoneticPr fontId="1" type="noConversion"/>
  </si>
  <si>
    <t>패킷의 seq번호</t>
    <phoneticPr fontId="1" type="noConversion"/>
  </si>
  <si>
    <t>return code : 0 인경우 테스트 미수행</t>
    <phoneticPr fontId="1" type="noConversion"/>
  </si>
  <si>
    <t xml:space="preserve">가상칼럼으로 1. 성공 2.실패의 결과값을 유도 </t>
    <phoneticPr fontId="1" type="noConversion"/>
  </si>
  <si>
    <t>http 인경우 응답헤더내용</t>
    <phoneticPr fontId="1" type="noConversion"/>
  </si>
  <si>
    <t>에러발생시 에러내용</t>
    <phoneticPr fontId="1" type="noConversion"/>
  </si>
  <si>
    <t>appid</t>
    <phoneticPr fontId="1" type="noConversion"/>
  </si>
  <si>
    <r>
      <t xml:space="preserve">tapplication 에 정의된 id  이 값은 dstip 와 dstport 값에 의해 정의됨 ( uf_getapp 참조)
사전 정의된 ( app 등록 화면) ip,port 값
 SELECT APPID FROM </t>
    </r>
    <r>
      <rPr>
        <b/>
        <sz val="10"/>
        <color theme="4" tint="-0.249977111117893"/>
        <rFont val="맑은 고딕"/>
        <family val="3"/>
        <charset val="129"/>
        <scheme val="minor"/>
      </rPr>
      <t>tapphosts</t>
    </r>
    <r>
      <rPr>
        <sz val="10"/>
        <color theme="1"/>
        <rFont val="맑은 고딕"/>
        <family val="2"/>
        <charset val="129"/>
        <scheme val="minor"/>
      </rPr>
      <t xml:space="preserve"> WHERE THOST = </t>
    </r>
    <r>
      <rPr>
        <i/>
        <sz val="10"/>
        <color rgb="FFC00000"/>
        <rFont val="맑은 고딕"/>
        <family val="3"/>
        <charset val="129"/>
        <scheme val="minor"/>
      </rPr>
      <t>dstip</t>
    </r>
    <r>
      <rPr>
        <sz val="10"/>
        <color theme="1"/>
        <rFont val="맑은 고딕"/>
        <family val="2"/>
        <charset val="129"/>
        <scheme val="minor"/>
      </rPr>
      <t xml:space="preserve"> AND ( tport = </t>
    </r>
    <r>
      <rPr>
        <i/>
        <sz val="10"/>
        <color rgb="FFC00000"/>
        <rFont val="맑은 고딕"/>
        <family val="3"/>
        <charset val="129"/>
        <scheme val="minor"/>
      </rPr>
      <t>dstport</t>
    </r>
    <r>
      <rPr>
        <sz val="10"/>
        <color theme="1"/>
        <rFont val="맑은 고딕"/>
        <family val="2"/>
        <charset val="129"/>
        <scheme val="minor"/>
      </rPr>
      <t xml:space="preserve"> OR tport = 0 ) ;</t>
    </r>
    <phoneticPr fontId="1" type="noConversion"/>
  </si>
  <si>
    <t>lvl</t>
  </si>
  <si>
    <t>tdate</t>
  </si>
  <si>
    <t>varchar(10)</t>
  </si>
  <si>
    <t>endDate</t>
  </si>
  <si>
    <t>tdir</t>
  </si>
  <si>
    <t>varchar(80)</t>
  </si>
  <si>
    <t>tuser</t>
  </si>
  <si>
    <t>thost</t>
  </si>
  <si>
    <t>tport</t>
  </si>
  <si>
    <t>varchar(5)</t>
  </si>
  <si>
    <t>tenv</t>
  </si>
  <si>
    <t>pro</t>
  </si>
  <si>
    <t>svc_cnt</t>
  </si>
  <si>
    <t>fsvc_cnt</t>
  </si>
  <si>
    <t>data_cnt</t>
  </si>
  <si>
    <t>scnt</t>
  </si>
  <si>
    <t>fcnt</t>
  </si>
  <si>
    <t>code</t>
    <phoneticPr fontId="1" type="noConversion"/>
  </si>
  <si>
    <t>varchar(20)</t>
    <phoneticPr fontId="1" type="noConversion"/>
  </si>
  <si>
    <t>cmpCode</t>
    <phoneticPr fontId="1" type="noConversion"/>
  </si>
  <si>
    <t>1.배치테스트 2.실시간</t>
    <phoneticPr fontId="1" type="noConversion"/>
  </si>
  <si>
    <t>desc1</t>
    <phoneticPr fontId="1" type="noConversion"/>
  </si>
  <si>
    <t>테스트시작일</t>
    <phoneticPr fontId="1" type="noConversion"/>
  </si>
  <si>
    <t>TMASTER</t>
    <phoneticPr fontId="1" type="noConversion"/>
  </si>
  <si>
    <t>테스트ID</t>
    <phoneticPr fontId="1" type="noConversion"/>
  </si>
  <si>
    <t>0.대상아님 1.단위  2.통합테스트 3.정합성</t>
    <phoneticPr fontId="1" type="noConversion"/>
  </si>
  <si>
    <t>테스트 명칭</t>
    <phoneticPr fontId="1" type="noConversion"/>
  </si>
  <si>
    <t>주비교테스트 ID</t>
    <phoneticPr fontId="1" type="noConversion"/>
  </si>
  <si>
    <t>테스트종료일 : 날짜값 설정되면 테스트 불가</t>
    <phoneticPr fontId="1" type="noConversion"/>
  </si>
  <si>
    <t>현재 미사용</t>
    <phoneticPr fontId="1" type="noConversion"/>
  </si>
  <si>
    <t>테스트 대상 서버 HOST명 또는 IP</t>
    <phoneticPr fontId="1" type="noConversion"/>
  </si>
  <si>
    <t>테스트 대상 PORT</t>
    <phoneticPr fontId="1" type="noConversion"/>
  </si>
  <si>
    <t># AQTTYPE=    ( TMAX, TCP, HTTP ) default HTTP</t>
  </si>
  <si>
    <t xml:space="preserve"># AqtTimeOut=30000  </t>
    <phoneticPr fontId="1" type="noConversion"/>
  </si>
  <si>
    <t xml:space="preserve">기본 30초 설정 , tcp or http timeout값 </t>
    <phoneticPr fontId="1" type="noConversion"/>
  </si>
  <si>
    <t>httpRequest.js</t>
    <phoneticPr fontId="1" type="noConversion"/>
  </si>
  <si>
    <t>capToDb.js</t>
    <phoneticPr fontId="1" type="noConversion"/>
  </si>
  <si>
    <t>capToDb_tcp.js</t>
    <phoneticPr fontId="1" type="noConversion"/>
  </si>
  <si>
    <t>capToDb_tmax.js</t>
    <phoneticPr fontId="1" type="noConversion"/>
  </si>
  <si>
    <t>tcpRequest.js</t>
    <phoneticPr fontId="1" type="noConversion"/>
  </si>
  <si>
    <t>tcp 송신테스트</t>
    <phoneticPr fontId="1" type="noConversion"/>
  </si>
  <si>
    <t>http 송신테스트</t>
    <phoneticPr fontId="1" type="noConversion"/>
  </si>
  <si>
    <t>sendMain.js</t>
    <phoneticPr fontId="1" type="noConversion"/>
  </si>
  <si>
    <t>테스트 송신 수행.  AQTTYPE 에 따라 http, tcp 송신테스트를 수행한다. 작업수에 따른 Thread를 생성하여 처리</t>
    <phoneticPr fontId="1" type="noConversion"/>
  </si>
  <si>
    <t>실패서비스수</t>
    <phoneticPr fontId="1" type="noConversion"/>
  </si>
  <si>
    <t>총건수</t>
    <phoneticPr fontId="1" type="noConversion"/>
  </si>
  <si>
    <t>성공건수</t>
    <phoneticPr fontId="1" type="noConversion"/>
  </si>
  <si>
    <t>실패건수</t>
    <phoneticPr fontId="1" type="noConversion"/>
  </si>
  <si>
    <t xml:space="preserve">서비스 수  </t>
    <phoneticPr fontId="1" type="noConversion"/>
  </si>
  <si>
    <t>TEXECJOB</t>
    <phoneticPr fontId="1" type="noConversion"/>
  </si>
  <si>
    <t>pkey</t>
    <phoneticPr fontId="1" type="noConversion"/>
  </si>
  <si>
    <t>int(10) unsigned</t>
    <phoneticPr fontId="1" type="noConversion"/>
  </si>
  <si>
    <t>jobkind</t>
    <phoneticPr fontId="1" type="noConversion"/>
  </si>
  <si>
    <t>smallint(5) unsigned</t>
    <phoneticPr fontId="1" type="noConversion"/>
  </si>
  <si>
    <t>0.패킷캡쳐 1.패킷파일import 3.패킷복제 9.테스트수행</t>
    <phoneticPr fontId="1" type="noConversion"/>
  </si>
  <si>
    <t>tcode</t>
    <phoneticPr fontId="1" type="noConversion"/>
  </si>
  <si>
    <t>varchar(50)</t>
    <phoneticPr fontId="1" type="noConversion"/>
  </si>
  <si>
    <t>tdesc</t>
    <phoneticPr fontId="1" type="noConversion"/>
  </si>
  <si>
    <t>varchar(80)</t>
    <phoneticPr fontId="1" type="noConversion"/>
  </si>
  <si>
    <t>테스트설명</t>
    <phoneticPr fontId="1" type="noConversion"/>
  </si>
  <si>
    <t>tnum</t>
    <phoneticPr fontId="1" type="noConversion"/>
  </si>
  <si>
    <t>쓰레드 수</t>
    <phoneticPr fontId="1" type="noConversion"/>
  </si>
  <si>
    <t>dbskip</t>
    <phoneticPr fontId="1" type="noConversion"/>
  </si>
  <si>
    <t>char(1)</t>
    <phoneticPr fontId="1" type="noConversion"/>
  </si>
  <si>
    <t>1. dbupdate skip</t>
    <phoneticPr fontId="1" type="noConversion"/>
  </si>
  <si>
    <t>etc</t>
    <phoneticPr fontId="1" type="noConversion"/>
  </si>
  <si>
    <t>varchar(256)</t>
    <phoneticPr fontId="1" type="noConversion"/>
  </si>
  <si>
    <t>기타 선택조건</t>
    <phoneticPr fontId="1" type="noConversion"/>
  </si>
  <si>
    <t>in_file</t>
    <phoneticPr fontId="1" type="noConversion"/>
  </si>
  <si>
    <t>varchar(100)</t>
    <phoneticPr fontId="1" type="noConversion"/>
  </si>
  <si>
    <t>입력파일 or src Tcode</t>
    <phoneticPr fontId="1" type="noConversion"/>
  </si>
  <si>
    <t>limits</t>
    <phoneticPr fontId="1" type="noConversion"/>
  </si>
  <si>
    <t>varchar(30)</t>
    <phoneticPr fontId="1" type="noConversion"/>
  </si>
  <si>
    <t>처리건수 ( 예: 1,10 )</t>
    <phoneticPr fontId="1" type="noConversion"/>
  </si>
  <si>
    <t>outlogdir</t>
    <phoneticPr fontId="1" type="noConversion"/>
  </si>
  <si>
    <t>미사용</t>
    <phoneticPr fontId="1" type="noConversion"/>
  </si>
  <si>
    <t>tuser</t>
    <phoneticPr fontId="1" type="noConversion"/>
  </si>
  <si>
    <t>tdir</t>
    <phoneticPr fontId="1" type="noConversion"/>
  </si>
  <si>
    <t>tenv</t>
    <phoneticPr fontId="1" type="noConversion"/>
  </si>
  <si>
    <t>reqstartDt</t>
    <phoneticPr fontId="1" type="noConversion"/>
  </si>
  <si>
    <t>datetime</t>
    <phoneticPr fontId="1" type="noConversion"/>
  </si>
  <si>
    <t>작업시작요청일시</t>
    <phoneticPr fontId="1" type="noConversion"/>
  </si>
  <si>
    <t>exectype</t>
    <phoneticPr fontId="1" type="noConversion"/>
  </si>
  <si>
    <t>0.즉시실행  1.송신시간에 맞추어</t>
    <phoneticPr fontId="1" type="noConversion"/>
  </si>
  <si>
    <t>resultstat</t>
    <phoneticPr fontId="1" type="noConversion"/>
  </si>
  <si>
    <t>0. 미실행 1.수행중  2.완료 3.실행오류</t>
    <phoneticPr fontId="1" type="noConversion"/>
  </si>
  <si>
    <t>reqnum</t>
    <phoneticPr fontId="1" type="noConversion"/>
  </si>
  <si>
    <t>재요청횟수 -&gt; (송신간격 or uri별건수)</t>
    <phoneticPr fontId="1" type="noConversion"/>
  </si>
  <si>
    <t>repnum</t>
    <phoneticPr fontId="1" type="noConversion"/>
  </si>
  <si>
    <t>반복횟수</t>
    <phoneticPr fontId="1" type="noConversion"/>
  </si>
  <si>
    <t>startDt</t>
    <phoneticPr fontId="1" type="noConversion"/>
  </si>
  <si>
    <t>작업시작시간</t>
    <phoneticPr fontId="1" type="noConversion"/>
  </si>
  <si>
    <t>endDt</t>
    <phoneticPr fontId="1" type="noConversion"/>
  </si>
  <si>
    <t>작업종료시간</t>
    <phoneticPr fontId="1" type="noConversion"/>
  </si>
  <si>
    <t>msg</t>
    <phoneticPr fontId="1" type="noConversion"/>
  </si>
  <si>
    <t>mediumtext</t>
    <phoneticPr fontId="1" type="noConversion"/>
  </si>
  <si>
    <t>작업메세지</t>
    <phoneticPr fontId="1" type="noConversion"/>
  </si>
  <si>
    <t>id</t>
  </si>
  <si>
    <t>int(11)</t>
  </si>
  <si>
    <t>pass1</t>
  </si>
  <si>
    <t>TCODE</t>
  </si>
  <si>
    <t>encval</t>
  </si>
  <si>
    <t>diffc</t>
  </si>
  <si>
    <t>pjtnm</t>
  </si>
  <si>
    <t>TCONFIG</t>
    <phoneticPr fontId="1" type="noConversion"/>
  </si>
  <si>
    <t>테스트admin passwd ( 클라이언트 로그인시 )</t>
    <phoneticPr fontId="1" type="noConversion"/>
  </si>
  <si>
    <t>최근 사용된 TCODE</t>
    <phoneticPr fontId="1" type="noConversion"/>
  </si>
  <si>
    <t xml:space="preserve">default encoding  ( MS949, UTF-8 ) </t>
    <phoneticPr fontId="1" type="noConversion"/>
  </si>
  <si>
    <t>두개의 전문 비교시 다르다는 판단기준 조건 . 아래는 기본으로 작성된 내용
aqtins.sql 수행후 직접 수정요.
AND (a.rcode &lt;&gt; b.rcode or a.rcode &gt; 399 or b.rcode &gt; 399)</t>
    <phoneticPr fontId="1" type="noConversion"/>
  </si>
  <si>
    <t>TTCPPACKET</t>
    <phoneticPr fontId="1" type="noConversion"/>
  </si>
  <si>
    <t>추가정보</t>
    <phoneticPr fontId="1" type="noConversion"/>
  </si>
  <si>
    <r>
      <t xml:space="preserve">lib </t>
    </r>
    <r>
      <rPr>
        <sz val="10"/>
        <color rgb="FFCE9178"/>
        <rFont val="돋움"/>
        <family val="3"/>
        <charset val="129"/>
      </rPr>
      <t>디렉토리의</t>
    </r>
    <r>
      <rPr>
        <sz val="10"/>
        <color rgb="FFCE9178"/>
        <rFont val="Consolas"/>
        <family val="3"/>
      </rPr>
      <t xml:space="preserve"> capToDb, capToDb_tcp, capToDb_tmax </t>
    </r>
    <r>
      <rPr>
        <sz val="10"/>
        <color rgb="FFCE9178"/>
        <rFont val="돋움"/>
        <family val="3"/>
        <charset val="129"/>
      </rPr>
      <t>셋중</t>
    </r>
    <r>
      <rPr>
        <sz val="10"/>
        <color rgb="FFCE9178"/>
        <rFont val="Consolas"/>
        <family val="3"/>
      </rPr>
      <t xml:space="preserve"> </t>
    </r>
    <r>
      <rPr>
        <sz val="10"/>
        <color rgb="FFCE9178"/>
        <rFont val="돋움"/>
        <family val="3"/>
        <charset val="129"/>
      </rPr>
      <t>선택실행</t>
    </r>
    <phoneticPr fontId="1" type="noConversion"/>
  </si>
  <si>
    <t>* 프로그램 설치 완료후</t>
    <phoneticPr fontId="1" type="noConversion"/>
  </si>
  <si>
    <t>1. 환경변수 설정 및 확인</t>
    <phoneticPr fontId="1" type="noConversion"/>
  </si>
  <si>
    <t xml:space="preserve">$AQTHOME/bin/aqtenv.sh </t>
    <phoneticPr fontId="1" type="noConversion"/>
  </si>
  <si>
    <t>2. 대상서버에서 2개이상의 AP 가 존재하는 경우  App 등록 ( 사용자매뉴얼 참조 )</t>
    <phoneticPr fontId="1" type="noConversion"/>
  </si>
  <si>
    <t>3. 서비스 및 테스트 ID 등록</t>
    <phoneticPr fontId="1" type="noConversion"/>
  </si>
  <si>
    <t>서비스는 위 등록한 App별 URI 혹은 (TMAX 서비스) 를 등록.  csv로 작성된 데이터로 import 가능</t>
    <phoneticPr fontId="1" type="noConversion"/>
  </si>
  <si>
    <t>테스트등록</t>
    <phoneticPr fontId="1" type="noConversion"/>
  </si>
  <si>
    <t>4. 테스트데이터 load</t>
    <phoneticPr fontId="1" type="noConversion"/>
  </si>
  <si>
    <t>로그파일을 분석하여 TLOADDATA 테이블로 IMPORT</t>
    <phoneticPr fontId="1" type="noConversion"/>
  </si>
  <si>
    <t>TLOADDATA 에 데이터가 적재된후 가능하며 생성된 데이터는 TTCPPACKET 테이블에 저장됨</t>
    <phoneticPr fontId="1" type="noConversion"/>
  </si>
  <si>
    <t>6. 테스트 실행 화면에서 작업등록</t>
    <phoneticPr fontId="1" type="noConversion"/>
  </si>
  <si>
    <t>aqtctl start 명령으로 백그라운드 작업 기동</t>
    <phoneticPr fontId="1" type="noConversion"/>
  </si>
  <si>
    <t>이때 app별 host및 port를 정확히 등록되어야 함.</t>
    <phoneticPr fontId="1" type="noConversion"/>
  </si>
  <si>
    <t>AQTTYPE (TMAX, TCP, HTTP ) 
패킷수집파일 -&gt; db저장</t>
    <phoneticPr fontId="1" type="noConversion"/>
  </si>
  <si>
    <t>pcap 파일로 부터 로드는 jsbin/aqt_ToDb.js 로 처리</t>
    <phoneticPr fontId="1" type="noConversion"/>
  </si>
  <si>
    <t>0. virtual column 설정</t>
    <phoneticPr fontId="1" type="noConversion"/>
  </si>
  <si>
    <t>tconfig 의 diffc :  두개의 전문을 다른것으로 판단하는 조건</t>
    <phoneticPr fontId="1" type="noConversion"/>
  </si>
  <si>
    <t>ttcppacket 의 sflag : 테스트 수행의 성공, 실패 조건</t>
    <phoneticPr fontId="1" type="noConversion"/>
  </si>
  <si>
    <t>aqtctl start [HTTP | TMAX]</t>
    <phoneticPr fontId="1" type="noConversion"/>
  </si>
  <si>
    <t>aqtctl stop [HTTP | TMAX]</t>
    <phoneticPr fontId="1" type="noConversion"/>
  </si>
  <si>
    <t>aqtctl restart [HTTP | TMAX]</t>
    <phoneticPr fontId="1" type="noConversion"/>
  </si>
  <si>
    <t>** 수행결과 원본과 차이나는 전문 SQL</t>
    <phoneticPr fontId="1" type="noConversion"/>
  </si>
  <si>
    <t>chgrp pcap /usr/sbin/tcpdump</t>
  </si>
  <si>
    <r>
      <t xml:space="preserve">chmod 750 /usr/sbin/tcpdump </t>
    </r>
    <r>
      <rPr>
        <sz val="10"/>
        <color rgb="FFB4A490"/>
        <rFont val="Consolas"/>
        <family val="3"/>
      </rPr>
      <t># tcpdump 소유 그룹에 읽기 및 실행 권한 설정</t>
    </r>
  </si>
  <si>
    <r>
      <t>CAP_NET_RAW</t>
    </r>
    <r>
      <rPr>
        <sz val="11"/>
        <color rgb="FF343434"/>
        <rFont val="Segoe UI"/>
        <family val="2"/>
      </rPr>
      <t>: 네트워크 작업 시 권한 있는 소켓 옵션, 멀티 캐스팅, 인터페이스 구성, 라우팅 테이블 수정 등에 사용되는 권한</t>
    </r>
  </si>
  <si>
    <r>
      <t>CAP_NET_ADMIN</t>
    </r>
    <r>
      <rPr>
        <sz val="11"/>
        <color rgb="FF343434"/>
        <rFont val="Segoe UI"/>
        <family val="2"/>
      </rPr>
      <t>: RAW 및 PACKET 소켓의 사용 허용에 사용되는 권한</t>
    </r>
  </si>
  <si>
    <r>
      <t>setcap cap_net_raw,cap_net_admin</t>
    </r>
    <r>
      <rPr>
        <sz val="10"/>
        <color rgb="FF6EB958"/>
        <rFont val="Consolas"/>
        <family val="3"/>
      </rPr>
      <t>=</t>
    </r>
    <r>
      <rPr>
        <sz val="10"/>
        <color rgb="FFCABCB1"/>
        <rFont val="Consolas"/>
        <family val="3"/>
      </rPr>
      <t>eip /usr/sbin/tcpdump</t>
    </r>
  </si>
  <si>
    <r>
      <t xml:space="preserve">** tcpdump </t>
    </r>
    <r>
      <rPr>
        <sz val="11"/>
        <color rgb="FFD4D4D4"/>
        <rFont val="맑은 고딕"/>
        <family val="2"/>
        <charset val="129"/>
      </rPr>
      <t>권한</t>
    </r>
    <phoneticPr fontId="1" type="noConversion"/>
  </si>
  <si>
    <t>0.tcp 1.http 2.udp 3.tmax</t>
    <phoneticPr fontId="1" type="noConversion"/>
  </si>
  <si>
    <t>별도환경파일위치 -&gt; encoding으로 활용</t>
    <phoneticPr fontId="1" type="noConversion"/>
  </si>
  <si>
    <t>taqtuser</t>
    <phoneticPr fontId="1" type="noConversion"/>
  </si>
  <si>
    <t>aqt 사용자 / 권한</t>
    <phoneticPr fontId="1" type="noConversion"/>
  </si>
  <si>
    <t>./startAqtWeb.sh</t>
    <phoneticPr fontId="1" type="noConversion"/>
  </si>
  <si>
    <t>서버에 설치된 svelte-app  디렉토리에서</t>
    <phoneticPr fontId="1" type="noConversion"/>
  </si>
  <si>
    <t>* AQT환경변수 설정완료후</t>
    <phoneticPr fontId="1" type="noConversion"/>
  </si>
  <si>
    <t>pc에서  http://서버ip:5972</t>
    <phoneticPr fontId="1" type="noConversion"/>
  </si>
  <si>
    <t>아래화면 나오면   testadmin / aqtadmin</t>
    <phoneticPr fontId="1" type="noConversion"/>
  </si>
  <si>
    <t>aqttype :  TMAX,TCP,UDP,JEUS,HTTP</t>
    <phoneticPr fontId="1" type="noConversion"/>
  </si>
  <si>
    <t>TMAX,TCP,UDP,JEUS,HTTP</t>
    <phoneticPr fontId="1" type="noConversion"/>
  </si>
  <si>
    <t>* 권장 서버spec</t>
    <phoneticPr fontId="1" type="noConversion"/>
  </si>
  <si>
    <t>OS : Linux</t>
  </si>
  <si>
    <r>
      <t>     - Disk : 1 TB </t>
    </r>
    <r>
      <rPr>
        <sz val="12"/>
        <color rgb="FF222222"/>
        <rFont val="Arial"/>
        <family val="2"/>
      </rPr>
      <t>이상</t>
    </r>
  </si>
  <si>
    <r>
      <t>     - Core : 16Core / Memory : 64 G </t>
    </r>
    <r>
      <rPr>
        <sz val="12"/>
        <color rgb="FF222222"/>
        <rFont val="Arial"/>
        <family val="2"/>
      </rPr>
      <t>이상</t>
    </r>
  </si>
  <si>
    <r>
      <t>     - SW : GCC </t>
    </r>
    <r>
      <rPr>
        <sz val="12"/>
        <color rgb="FF222222"/>
        <rFont val="Arial"/>
        <family val="2"/>
      </rPr>
      <t>컴파일러</t>
    </r>
    <r>
      <rPr>
        <sz val="12"/>
        <color rgb="FF222222"/>
        <rFont val="Verdana"/>
        <family val="2"/>
      </rPr>
      <t>, Tmax Client</t>
    </r>
  </si>
  <si>
    <t>테스트 요청된 패킷 큐에 등록 ( aqt_sendM 또는 aqt_sendM2 실행 )</t>
    <phoneticPr fontId="1" type="noConversion"/>
  </si>
  <si>
    <t xml:space="preserve">ex) aqtctl start TMAX </t>
    <phoneticPr fontId="1" type="noConversion"/>
  </si>
  <si>
    <r>
      <rPr>
        <b/>
        <sz val="10"/>
        <color theme="2" tint="-0.749992370372631"/>
        <rFont val="맑은 고딕"/>
        <family val="3"/>
        <charset val="129"/>
        <scheme val="minor"/>
      </rPr>
      <t xml:space="preserve"> 실행예)   node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FF0000"/>
        <rFont val="맑은 고딕"/>
        <family val="3"/>
        <charset val="129"/>
        <scheme val="minor"/>
      </rPr>
      <t>aqt_ToDb</t>
    </r>
    <r>
      <rPr>
        <sz val="10"/>
        <color theme="1"/>
        <rFont val="맑은 고딕"/>
        <family val="3"/>
        <charset val="129"/>
        <scheme val="minor"/>
      </rPr>
      <t xml:space="preserve">   ./cap_info   </t>
    </r>
    <phoneticPr fontId="1" type="noConversion"/>
  </si>
  <si>
    <t>실행정보파일의 위치는 절대경로 혹은 상대경로 형태로 지정 ( /, ./, ../ )</t>
    <phoneticPr fontId="1" type="noConversion"/>
  </si>
  <si>
    <t>수집데이터 양에 따라 변동됨</t>
    <phoneticPr fontId="1" type="noConversion"/>
  </si>
  <si>
    <t>* TMAX 테스트 환경 ( http, tcp 인 경우는 불필요 )</t>
    <phoneticPr fontId="1" type="noConversion"/>
  </si>
  <si>
    <t>vtrxlist</t>
    <phoneticPr fontId="1" type="noConversion"/>
  </si>
  <si>
    <t>테스트코드별 건수집계 가상테이블</t>
    <phoneticPr fontId="1" type="noConversion"/>
  </si>
  <si>
    <r>
      <t xml:space="preserve">$ </t>
    </r>
    <r>
      <rPr>
        <b/>
        <sz val="10"/>
        <color theme="1" tint="0.249977111117893"/>
        <rFont val="맑은 고딕"/>
        <family val="3"/>
        <charset val="129"/>
        <scheme val="minor"/>
      </rPr>
      <t xml:space="preserve">node </t>
    </r>
    <r>
      <rPr>
        <b/>
        <sz val="10"/>
        <color rgb="FFFF0000"/>
        <rFont val="맑은 고딕"/>
        <family val="3"/>
        <charset val="129"/>
        <scheme val="minor"/>
      </rPr>
      <t>aqt_ToDb</t>
    </r>
    <r>
      <rPr>
        <b/>
        <sz val="10"/>
        <color theme="1" tint="0.249977111117893"/>
        <rFont val="맑은 고딕"/>
        <family val="3"/>
        <charset val="129"/>
        <scheme val="minor"/>
      </rPr>
      <t xml:space="preserve">  </t>
    </r>
    <r>
      <rPr>
        <b/>
        <i/>
        <sz val="10"/>
        <color theme="1" tint="0.249977111117893"/>
        <rFont val="맑은 고딕"/>
        <family val="3"/>
        <charset val="129"/>
        <scheme val="minor"/>
      </rPr>
      <t>./정보파일.js</t>
    </r>
    <phoneticPr fontId="1" type="noConversion"/>
  </si>
  <si>
    <r>
      <t xml:space="preserve">5. </t>
    </r>
    <r>
      <rPr>
        <b/>
        <sz val="10"/>
        <color theme="1" tint="0.249977111117893"/>
        <rFont val="맑은 고딕"/>
        <family val="3"/>
        <charset val="129"/>
        <scheme val="minor"/>
      </rPr>
      <t>테스트 등록 화면에서 "전문생성"</t>
    </r>
    <r>
      <rPr>
        <sz val="10"/>
        <color theme="1" tint="0.249977111117893"/>
        <rFont val="맑은 고딕"/>
        <family val="2"/>
        <charset val="129"/>
        <scheme val="minor"/>
      </rPr>
      <t>의 기능으로 테스트 데이터 생성</t>
    </r>
    <phoneticPr fontId="1" type="noConversion"/>
  </si>
  <si>
    <t>** windows named_pipe 를 사용할 경우 on 시켜야함  socketPath= \\\\.\\PIPE\\MySQL</t>
    <phoneticPr fontId="1" type="noConversion"/>
  </si>
  <si>
    <t>    dstip: '27.102' , // '192.168.147.10',//</t>
  </si>
  <si>
    <t>    dstport:'' ,</t>
  </si>
  <si>
    <t>    svcid:'',</t>
  </si>
  <si>
    <t>    maxcnt:200,</t>
  </si>
  <si>
    <t xml:space="preserve">    aqttype : 'TCP',</t>
    <phoneticPr fontId="1" type="noConversion"/>
  </si>
  <si>
    <r>
      <t xml:space="preserve">    dstf: </t>
    </r>
    <r>
      <rPr>
        <b/>
        <sz val="11"/>
        <color theme="9" tint="-0.249977111117893"/>
        <rFont val="돋움"/>
        <family val="3"/>
        <charset val="129"/>
      </rPr>
      <t>파일명</t>
    </r>
    <r>
      <rPr>
        <b/>
        <sz val="11"/>
        <color theme="9" tint="-0.249977111117893"/>
        <rFont val="Consolas"/>
        <family val="3"/>
      </rPr>
      <t xml:space="preserve"> </t>
    </r>
    <r>
      <rPr>
        <b/>
        <sz val="11"/>
        <color theme="9" tint="-0.249977111117893"/>
        <rFont val="돋움"/>
        <family val="3"/>
        <charset val="129"/>
      </rPr>
      <t/>
    </r>
    <phoneticPr fontId="1" type="noConversion"/>
  </si>
  <si>
    <t>uri or 서비스 id 필터 : tuxedo/ tmax인경우  svcid</t>
    <phoneticPr fontId="1" type="noConversion"/>
  </si>
  <si>
    <t>    otherOpt :'', // ex -&gt;   ' -A -nnn  '</t>
    <phoneticPr fontId="1" type="noConversion"/>
  </si>
  <si>
    <t>    ptype:'C',</t>
    <phoneticPr fontId="1" type="noConversion"/>
  </si>
  <si>
    <t>    norcv:0,</t>
    <phoneticPr fontId="1" type="noConversion"/>
  </si>
  <si>
    <t>    dbskip:0,</t>
    <phoneticPr fontId="1" type="noConversion"/>
  </si>
  <si>
    <t>    ctype: 0,</t>
    <phoneticPr fontId="1" type="noConversion"/>
  </si>
  <si>
    <t>0:'tcpdump', 1:'netti', 2:'snoop'  ( os 마다 dump명령이 다름. 기본값은 0, tcpdump)</t>
    <phoneticPr fontId="1" type="noConversion"/>
  </si>
  <si>
    <t>C: 즉시캡쳐 , F: 파일에서   ( 네트워크에서 즉시 캡쳐하는 경우와 이미 캡쳐된 파일에서 읽는 두가지 경우가 있음)</t>
    <phoneticPr fontId="1" type="noConversion"/>
  </si>
  <si>
    <t xml:space="preserve">위 ptype 이 'F' 인 경우 :패킷파일명 </t>
    <phoneticPr fontId="1" type="noConversion"/>
  </si>
  <si>
    <t>    immd:0,</t>
    <phoneticPr fontId="1" type="noConversion"/>
  </si>
  <si>
    <t>tcpdump 명령에 에 추가할 옵션 . 임의로 입력</t>
    <phoneticPr fontId="1" type="noConversion"/>
  </si>
  <si>
    <t>응답대상 ip . 목적지 ip 또는 호스트명일수 있음. 임의의 값입력</t>
    <phoneticPr fontId="1" type="noConversion"/>
  </si>
  <si>
    <t>응답port, 숫자만</t>
    <phoneticPr fontId="1" type="noConversion"/>
  </si>
  <si>
    <t>    otherCond :'',</t>
    <phoneticPr fontId="1" type="noConversion"/>
  </si>
  <si>
    <t>dump 명령에서 사용되는 필터조건  // ex -&gt;   ' ( port 80 || 8080 ) '</t>
    <phoneticPr fontId="1" type="noConversion"/>
  </si>
  <si>
    <t>1: 송신만 캡쳐하고 수신은 skip ( 수집시 송신에 대응하는 수신값을 조립하지 않도록하여 속도향상이 중요할때)</t>
    <phoneticPr fontId="1" type="noConversion"/>
  </si>
  <si>
    <t>dump시 최대 수집건수, 해당건수만큼 수집되면 종료.   0 인 경우 제한없슴</t>
    <phoneticPr fontId="1" type="noConversion"/>
  </si>
  <si>
    <t>{</t>
    <phoneticPr fontId="1" type="noConversion"/>
  </si>
  <si>
    <r>
      <t xml:space="preserve">usermod -G pcap -a </t>
    </r>
    <r>
      <rPr>
        <sz val="10"/>
        <color rgb="FFCABCB1"/>
        <rFont val="돋움"/>
        <family val="3"/>
        <charset val="129"/>
      </rPr>
      <t>사용자</t>
    </r>
    <r>
      <rPr>
        <sz val="10"/>
        <color rgb="FFCABCB1"/>
        <rFont val="Consolas"/>
        <family val="3"/>
      </rPr>
      <t>id</t>
    </r>
    <phoneticPr fontId="1" type="noConversion"/>
  </si>
  <si>
    <t>1: 테스트수신결과를 AQTDB 에 저장하지 않음 ( immd 1인경우 해당)</t>
    <phoneticPr fontId="1" type="noConversion"/>
  </si>
  <si>
    <t xml:space="preserve">0: 데이터수집만 수행  1: 실시간 테스트    2: 실시간테스트 결과를 저장하지않음 </t>
    <phoneticPr fontId="1" type="noConversion"/>
  </si>
  <si>
    <t>tmax/tuxedo 인경우 사용</t>
    <phoneticPr fontId="1" type="noConversion"/>
  </si>
  <si>
    <t>aqtctl 에서 시작</t>
    <phoneticPr fontId="1" type="noConversion"/>
  </si>
  <si>
    <t>aqtctl 에서 시작</t>
    <phoneticPr fontId="1" type="noConversion"/>
  </si>
  <si>
    <t xml:space="preserve"> aqt_execjob.sh</t>
    <phoneticPr fontId="1" type="noConversion"/>
  </si>
  <si>
    <t>aqt_execMst.sh</t>
    <phoneticPr fontId="1" type="noConversion"/>
  </si>
  <si>
    <t>aqt_execMst.sh 에서 시작</t>
    <phoneticPr fontId="1" type="noConversion"/>
  </si>
  <si>
    <t xml:space="preserve"> aqt_request</t>
    <phoneticPr fontId="1" type="noConversion"/>
  </si>
  <si>
    <t xml:space="preserve"> aqt_execChild.sh</t>
    <phoneticPr fontId="1" type="noConversion"/>
  </si>
  <si>
    <t>전문송신 테스트 실행( 선행 작업완료후 실행 )</t>
    <phoneticPr fontId="1" type="noConversion"/>
  </si>
  <si>
    <t>분석</t>
    <phoneticPr fontId="1" type="noConversion"/>
  </si>
  <si>
    <t>대상서비스 분석</t>
    <phoneticPr fontId="1" type="noConversion"/>
  </si>
  <si>
    <t>연관시스템 분석</t>
    <phoneticPr fontId="1" type="noConversion"/>
  </si>
  <si>
    <t>테스트시 연계시스템 인터페이스 조사</t>
    <phoneticPr fontId="1" type="noConversion"/>
  </si>
  <si>
    <t>준비</t>
    <phoneticPr fontId="1" type="noConversion"/>
  </si>
  <si>
    <t>테스트데이터 확보방안 수립</t>
    <phoneticPr fontId="1" type="noConversion"/>
  </si>
  <si>
    <t>배치테스트 수행준비</t>
    <phoneticPr fontId="1" type="noConversion"/>
  </si>
  <si>
    <t>배치테스트 환경준비
데이터 및 수행계획 수립
결과분석 방안수립</t>
    <phoneticPr fontId="1" type="noConversion"/>
  </si>
  <si>
    <t xml:space="preserve">거래로그 활용가능여부
테스트데이터 변환 커스터마이징
네트워크 캡쳐검토 </t>
    <phoneticPr fontId="1" type="noConversion"/>
  </si>
  <si>
    <t>서비스수, 발생건수, 기간별 분포, 전문종류분석등</t>
    <phoneticPr fontId="1" type="noConversion"/>
  </si>
  <si>
    <t>[ AQT테스트 서버 최소필요사양 ]
리눅스 Redhat 8이상 (Rocky Linux 8 )
64GB Memory, 32 core
1TB 저장장치 ( 테스트 데이터 수에 따라 증가)</t>
    <phoneticPr fontId="1" type="noConversion"/>
  </si>
  <si>
    <t xml:space="preserve">AQT 서버 준비 </t>
    <phoneticPr fontId="1" type="noConversion"/>
  </si>
  <si>
    <t>AQT 설치</t>
    <phoneticPr fontId="1" type="noConversion"/>
  </si>
  <si>
    <t>프로그램 설치 및 DB구성(Mariadb)</t>
    <phoneticPr fontId="1" type="noConversion"/>
  </si>
  <si>
    <t>데이터수집</t>
    <phoneticPr fontId="1" type="noConversion"/>
  </si>
  <si>
    <t>로그수집 및 변환</t>
    <phoneticPr fontId="1" type="noConversion"/>
  </si>
  <si>
    <t>로그데이터 수집 및 변환 수행, AQT DB 에 적재
네트워크캡쳐 요청 및 결과수집 , 변환 및 적재</t>
    <phoneticPr fontId="1" type="noConversion"/>
  </si>
  <si>
    <t>수집데이터 검증 및 분석</t>
    <phoneticPr fontId="1" type="noConversion"/>
  </si>
  <si>
    <t>테스트데이터의 적합성 및 커버리지 확인</t>
    <phoneticPr fontId="1" type="noConversion"/>
  </si>
  <si>
    <t>AQT 테스트</t>
    <phoneticPr fontId="1" type="noConversion"/>
  </si>
  <si>
    <t>배치 테스트</t>
    <phoneticPr fontId="1" type="noConversion"/>
  </si>
  <si>
    <t>운영중인 배치TOOL을 활용한 테스트 수행 및 모니터링(Ex: Control-M)</t>
    <phoneticPr fontId="1" type="noConversion"/>
  </si>
  <si>
    <t>테스트 결과 분석</t>
    <phoneticPr fontId="1" type="noConversion"/>
  </si>
  <si>
    <t>수행결과 분석 및 해결방안수립</t>
    <phoneticPr fontId="1" type="noConversion"/>
  </si>
  <si>
    <t>자동화 테스트 수행
수행결과 레포팅</t>
    <phoneticPr fontId="1" type="noConversion"/>
  </si>
  <si>
    <t>M1</t>
    <phoneticPr fontId="1" type="noConversion"/>
  </si>
  <si>
    <t>M2</t>
    <phoneticPr fontId="1" type="noConversion"/>
  </si>
  <si>
    <t>M3</t>
    <phoneticPr fontId="1" type="noConversion"/>
  </si>
  <si>
    <t>M4</t>
    <phoneticPr fontId="1" type="noConversion"/>
  </si>
  <si>
    <t>M5</t>
    <phoneticPr fontId="1" type="noConversion"/>
  </si>
  <si>
    <t>M6</t>
    <phoneticPr fontId="1" type="noConversion"/>
  </si>
  <si>
    <t>테스트 수행 기간</t>
    <phoneticPr fontId="1" type="noConversion"/>
  </si>
  <si>
    <t>테스트 준비</t>
    <phoneticPr fontId="1" type="noConversion"/>
  </si>
  <si>
    <t>단계</t>
    <phoneticPr fontId="1" type="noConversion"/>
  </si>
  <si>
    <t>작업</t>
    <phoneticPr fontId="1" type="noConversion"/>
  </si>
  <si>
    <t>작업내용</t>
    <phoneticPr fontId="1" type="noConversion"/>
  </si>
  <si>
    <t>합계</t>
    <phoneticPr fontId="1" type="noConversion"/>
  </si>
  <si>
    <t>고객</t>
    <phoneticPr fontId="1" type="noConversion"/>
  </si>
  <si>
    <t>담당</t>
    <phoneticPr fontId="1" type="noConversion"/>
  </si>
  <si>
    <t>고객/수행사</t>
    <phoneticPr fontId="1" type="noConversion"/>
  </si>
  <si>
    <t>배치테스트</t>
    <phoneticPr fontId="1" type="noConversion"/>
  </si>
  <si>
    <t>테스트 대상 서비스 확정</t>
    <phoneticPr fontId="1" type="noConversion"/>
  </si>
  <si>
    <t>업무구분</t>
    <phoneticPr fontId="1" type="noConversion"/>
  </si>
  <si>
    <t>프로그램명</t>
    <phoneticPr fontId="1" type="noConversion"/>
  </si>
  <si>
    <t>신규/변경일</t>
    <phoneticPr fontId="1" type="noConversion"/>
  </si>
  <si>
    <t>미사용구분</t>
    <phoneticPr fontId="1" type="noConversion"/>
  </si>
  <si>
    <t>컴파일/빌드</t>
    <phoneticPr fontId="1" type="noConversion"/>
  </si>
  <si>
    <t>전환(U2L)</t>
    <phoneticPr fontId="1" type="noConversion"/>
  </si>
  <si>
    <t>기능테스트</t>
    <phoneticPr fontId="1" type="noConversion"/>
  </si>
  <si>
    <t>거래코드</t>
    <phoneticPr fontId="1" type="noConversion"/>
  </si>
  <si>
    <t>테스트완료</t>
    <phoneticPr fontId="1" type="noConversion"/>
  </si>
  <si>
    <t>서비스id</t>
    <phoneticPr fontId="1" type="noConversion"/>
  </si>
  <si>
    <t>수신</t>
    <phoneticPr fontId="1" type="noConversion"/>
  </si>
  <si>
    <t>svc001.c</t>
    <phoneticPr fontId="1" type="noConversion"/>
  </si>
  <si>
    <t>svc001</t>
    <phoneticPr fontId="1" type="noConversion"/>
  </si>
  <si>
    <t>TR001</t>
    <phoneticPr fontId="1" type="noConversion"/>
  </si>
  <si>
    <t>TR002</t>
    <phoneticPr fontId="1" type="noConversion"/>
  </si>
  <si>
    <t>TR003</t>
    <phoneticPr fontId="1" type="noConversion"/>
  </si>
  <si>
    <t>TR004</t>
    <phoneticPr fontId="1" type="noConversion"/>
  </si>
  <si>
    <t>com001.c</t>
    <phoneticPr fontId="1" type="noConversion"/>
  </si>
  <si>
    <t>svc010.c</t>
    <phoneticPr fontId="1" type="noConversion"/>
  </si>
  <si>
    <t>미사용</t>
    <phoneticPr fontId="1" type="noConversion"/>
  </si>
  <si>
    <t>수작업</t>
    <phoneticPr fontId="1" type="noConversion"/>
  </si>
  <si>
    <t>수작업</t>
    <phoneticPr fontId="1" type="noConversion"/>
  </si>
  <si>
    <t>수작업</t>
    <phoneticPr fontId="1" type="noConversion"/>
  </si>
  <si>
    <t>수작업</t>
    <phoneticPr fontId="1" type="noConversion"/>
  </si>
  <si>
    <t>svc010</t>
    <phoneticPr fontId="1" type="noConversion"/>
  </si>
  <si>
    <t>로그</t>
    <phoneticPr fontId="1" type="noConversion"/>
  </si>
  <si>
    <t>로그</t>
    <phoneticPr fontId="1" type="noConversion"/>
  </si>
  <si>
    <t>로그</t>
    <phoneticPr fontId="1" type="noConversion"/>
  </si>
  <si>
    <t>테스트원본</t>
    <phoneticPr fontId="1" type="noConversion"/>
  </si>
  <si>
    <t>담당자</t>
    <phoneticPr fontId="1" type="noConversion"/>
  </si>
  <si>
    <t>홍길동</t>
    <phoneticPr fontId="1" type="noConversion"/>
  </si>
  <si>
    <t>김갑돌</t>
    <phoneticPr fontId="1" type="noConversion"/>
  </si>
  <si>
    <t>이수일</t>
    <phoneticPr fontId="1" type="noConversion"/>
  </si>
  <si>
    <t>빌드파일명</t>
    <phoneticPr fontId="1" type="noConversion"/>
  </si>
  <si>
    <t>svr01</t>
    <phoneticPr fontId="1" type="noConversion"/>
  </si>
  <si>
    <t>libcomx.so</t>
    <phoneticPr fontId="1" type="noConversion"/>
  </si>
  <si>
    <t>svr10</t>
    <phoneticPr fontId="1" type="noConversion"/>
  </si>
  <si>
    <t>계좌</t>
    <phoneticPr fontId="1" type="noConversion"/>
  </si>
  <si>
    <t>svc099.c</t>
    <phoneticPr fontId="1" type="noConversion"/>
  </si>
  <si>
    <t>김중배</t>
    <phoneticPr fontId="1" type="noConversion"/>
  </si>
  <si>
    <t>svc009</t>
    <phoneticPr fontId="1" type="noConversion"/>
  </si>
  <si>
    <t>svr99</t>
    <phoneticPr fontId="1" type="noConversion"/>
  </si>
  <si>
    <t>TR050</t>
    <phoneticPr fontId="1" type="noConversion"/>
  </si>
  <si>
    <t>수작업</t>
    <phoneticPr fontId="1" type="noConversion"/>
  </si>
  <si>
    <t>TR010</t>
    <phoneticPr fontId="1" type="noConversion"/>
  </si>
  <si>
    <t>U2L 전환 및 테스트 현황</t>
    <phoneticPr fontId="1" type="noConversion"/>
  </si>
  <si>
    <t>온라인테스트</t>
    <phoneticPr fontId="1" type="noConversion"/>
  </si>
  <si>
    <t>거래로그 활용가능여부
테스트데이터 변환 커스터마이징
네트워크 캡쳐검토 
테스트데이터 작성방법 정의</t>
    <phoneticPr fontId="1" type="noConversion"/>
  </si>
  <si>
    <t>누락서비스 테스트데이터 입력</t>
    <phoneticPr fontId="1" type="noConversion"/>
  </si>
  <si>
    <t>테스트데이터 관리 ( 수집/입력/검증)</t>
    <phoneticPr fontId="1" type="noConversion"/>
  </si>
  <si>
    <t xml:space="preserve">로그에서 수집되지않은 서비스 데이터 수동입력 </t>
    <phoneticPr fontId="1" type="noConversion"/>
  </si>
  <si>
    <t>테스트 결과 보고서 생성</t>
    <phoneticPr fontId="1" type="noConversion"/>
  </si>
  <si>
    <t>수행결과 리포팅 및 검토</t>
    <phoneticPr fontId="1" type="noConversion"/>
  </si>
  <si>
    <t>문제 원인 분석 및 해결방안 도출</t>
    <phoneticPr fontId="1" type="noConversion"/>
  </si>
  <si>
    <t>테스트 환경검토 및 준비
자동화 테스트 수행</t>
    <phoneticPr fontId="1" type="noConversion"/>
  </si>
  <si>
    <t>온라인테스트( JAVA</t>
    <phoneticPr fontId="1" type="noConversion"/>
  </si>
  <si>
    <t>통합채널 온라인</t>
    <phoneticPr fontId="1" type="noConversion"/>
  </si>
  <si>
    <t>BXM 온라인</t>
    <phoneticPr fontId="1" type="noConversion"/>
  </si>
  <si>
    <t>통합채널 배치</t>
    <phoneticPr fontId="1" type="noConversion"/>
  </si>
  <si>
    <t>BXM 배치</t>
    <phoneticPr fontId="1" type="noConversion"/>
  </si>
  <si>
    <t>SQL 온라인</t>
    <phoneticPr fontId="1" type="noConversion"/>
  </si>
  <si>
    <t>SQL 배치</t>
    <phoneticPr fontId="1" type="noConversion"/>
  </si>
  <si>
    <t>43개 SUB업무</t>
    <phoneticPr fontId="1" type="noConversion"/>
  </si>
  <si>
    <t>업무의 규모 및 복잡도에 따라 조정됨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</si>
</sst>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D4D4D4"/>
      <name val="Consolas"/>
      <family val="3"/>
    </font>
    <font>
      <sz val="11"/>
      <color rgb="FF4EC9B0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  <font>
      <sz val="11"/>
      <color theme="3"/>
      <name val="Consolas"/>
      <family val="3"/>
    </font>
    <font>
      <sz val="11"/>
      <color theme="3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6A9955"/>
      <name val="Consolas"/>
      <family val="3"/>
    </font>
    <font>
      <sz val="11"/>
      <color rgb="FF4FC1FF"/>
      <name val="Consolas"/>
      <family val="3"/>
    </font>
    <font>
      <sz val="11"/>
      <color theme="1" tint="0.249977111117893"/>
      <name val="Consolas"/>
      <family val="3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4" tint="-0.249977111117893"/>
      <name val="맑은 고딕"/>
      <family val="3"/>
      <charset val="129"/>
      <scheme val="minor"/>
    </font>
    <font>
      <i/>
      <sz val="10"/>
      <color rgb="FFC00000"/>
      <name val="맑은 고딕"/>
      <family val="3"/>
      <charset val="129"/>
      <scheme val="minor"/>
    </font>
    <font>
      <sz val="10"/>
      <color rgb="FFCE9178"/>
      <name val="Consolas"/>
      <family val="3"/>
    </font>
    <font>
      <sz val="10"/>
      <color rgb="FFCE9178"/>
      <name val="돋움"/>
      <family val="3"/>
      <charset val="129"/>
    </font>
    <font>
      <b/>
      <sz val="10"/>
      <color theme="8" tint="-0.249977111117893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2" tint="-0.74999237037263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i/>
      <sz val="10"/>
      <color theme="1" tint="0.249977111117893"/>
      <name val="맑은 고딕"/>
      <family val="3"/>
      <charset val="129"/>
      <scheme val="minor"/>
    </font>
    <font>
      <sz val="11"/>
      <color rgb="FF343434"/>
      <name val="Segoe UI"/>
      <family val="2"/>
    </font>
    <font>
      <sz val="10"/>
      <color rgb="FFCABCB1"/>
      <name val="Consolas"/>
      <family val="3"/>
    </font>
    <font>
      <sz val="10"/>
      <color rgb="FFB4A490"/>
      <name val="Consolas"/>
      <family val="3"/>
    </font>
    <font>
      <sz val="8.8000000000000007"/>
      <color rgb="FF343434"/>
      <name val="Consolas"/>
      <family val="3"/>
    </font>
    <font>
      <sz val="10"/>
      <color rgb="FF6EB958"/>
      <name val="Consolas"/>
      <family val="3"/>
    </font>
    <font>
      <sz val="11"/>
      <color rgb="FFD4D4D4"/>
      <name val="맑은 고딕"/>
      <family val="2"/>
      <charset val="129"/>
    </font>
    <font>
      <sz val="12"/>
      <color rgb="FF222222"/>
      <name val="Arial"/>
      <family val="2"/>
    </font>
    <font>
      <sz val="12"/>
      <color rgb="FF222222"/>
      <name val="Verdana"/>
      <family val="2"/>
    </font>
    <font>
      <sz val="11"/>
      <color theme="1" tint="0.249977111117893"/>
      <name val="맑은 고딕"/>
      <family val="2"/>
      <charset val="129"/>
      <scheme val="minor"/>
    </font>
    <font>
      <sz val="11"/>
      <color theme="1" tint="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 tint="0.249977111117893"/>
      <name val="맑은 고딕"/>
      <family val="3"/>
      <charset val="129"/>
      <scheme val="minor"/>
    </font>
    <font>
      <b/>
      <sz val="11"/>
      <color theme="9" tint="-0.249977111117893"/>
      <name val="Consolas"/>
      <family val="3"/>
    </font>
    <font>
      <b/>
      <sz val="11"/>
      <color theme="9" tint="-0.249977111117893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0"/>
      <color rgb="FFCABCB1"/>
      <name val="돋움"/>
      <family val="3"/>
      <charset val="129"/>
    </font>
    <font>
      <sz val="11"/>
      <color theme="1" tint="0.34998626667073579"/>
      <name val="맑은 고딕"/>
      <family val="2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theme="1" tint="0.34998626667073579"/>
      <name val="맑은 고딕"/>
      <family val="3"/>
      <charset val="129"/>
      <scheme val="minor"/>
    </font>
    <font>
      <sz val="9"/>
      <color theme="1" tint="0.3499862666707357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>
      <alignment vertical="center"/>
    </xf>
    <xf numFmtId="41" fontId="48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quotePrefix="1" applyFont="1">
      <alignment vertical="center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12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15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top"/>
    </xf>
    <xf numFmtId="0" fontId="13" fillId="0" borderId="1" xfId="0" applyFont="1" applyBorder="1" applyAlignment="1">
      <alignment vertical="top" wrapText="1"/>
    </xf>
    <xf numFmtId="0" fontId="13" fillId="0" borderId="2" xfId="0" applyFont="1" applyBorder="1">
      <alignment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4" fillId="0" borderId="2" xfId="0" applyFont="1" applyBorder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1" fillId="3" borderId="2" xfId="0" applyFont="1" applyFill="1" applyBorder="1" applyAlignment="1">
      <alignment horizontal="center" vertical="center"/>
    </xf>
    <xf numFmtId="0" fontId="24" fillId="0" borderId="2" xfId="0" applyFont="1" applyBorder="1">
      <alignment vertical="center"/>
    </xf>
    <xf numFmtId="0" fontId="2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31" fillId="0" borderId="0" xfId="0" applyFont="1" applyAlignment="1">
      <alignment horizontal="left" vertical="center" wrapText="1" indent="2"/>
    </xf>
    <xf numFmtId="0" fontId="35" fillId="0" borderId="0" xfId="0" applyFont="1" applyAlignment="1">
      <alignment vertical="center"/>
    </xf>
    <xf numFmtId="0" fontId="36" fillId="0" borderId="0" xfId="0" applyFont="1">
      <alignment vertical="center"/>
    </xf>
    <xf numFmtId="0" fontId="37" fillId="0" borderId="0" xfId="0" applyFont="1" applyAlignment="1">
      <alignment vertical="center" wrapText="1"/>
    </xf>
    <xf numFmtId="0" fontId="37" fillId="0" borderId="0" xfId="0" quotePrefix="1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14" fillId="2" borderId="2" xfId="0" applyFont="1" applyFill="1" applyBorder="1">
      <alignment vertical="center"/>
    </xf>
    <xf numFmtId="0" fontId="13" fillId="2" borderId="2" xfId="0" applyFont="1" applyFill="1" applyBorder="1">
      <alignment vertical="center"/>
    </xf>
    <xf numFmtId="0" fontId="13" fillId="2" borderId="2" xfId="0" applyFont="1" applyFill="1" applyBorder="1" applyAlignment="1">
      <alignment vertical="center" wrapText="1"/>
    </xf>
    <xf numFmtId="0" fontId="21" fillId="0" borderId="0" xfId="0" applyFont="1">
      <alignment vertical="center"/>
    </xf>
    <xf numFmtId="0" fontId="4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4" fillId="0" borderId="3" xfId="0" applyFont="1" applyBorder="1">
      <alignment vertical="center"/>
    </xf>
    <xf numFmtId="0" fontId="45" fillId="0" borderId="3" xfId="0" applyFont="1" applyBorder="1" applyAlignment="1">
      <alignment horizontal="center" vertical="center"/>
    </xf>
    <xf numFmtId="0" fontId="45" fillId="0" borderId="3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5" fillId="0" borderId="3" xfId="0" applyFont="1" applyBorder="1" applyAlignment="1">
      <alignment vertical="center" wrapText="1"/>
    </xf>
    <xf numFmtId="0" fontId="45" fillId="0" borderId="3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23" fillId="0" borderId="6" xfId="0" applyFont="1" applyBorder="1">
      <alignment vertical="center"/>
    </xf>
    <xf numFmtId="14" fontId="23" fillId="0" borderId="6" xfId="0" applyNumberFormat="1" applyFont="1" applyBorder="1" applyAlignment="1">
      <alignment horizontal="center" vertical="center"/>
    </xf>
    <xf numFmtId="0" fontId="46" fillId="0" borderId="6" xfId="0" applyFont="1" applyBorder="1">
      <alignment vertical="center"/>
    </xf>
    <xf numFmtId="0" fontId="47" fillId="0" borderId="0" xfId="0" applyFo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9" fillId="0" borderId="3" xfId="0" applyFont="1" applyBorder="1">
      <alignment vertical="center"/>
    </xf>
    <xf numFmtId="0" fontId="49" fillId="0" borderId="3" xfId="0" applyFont="1" applyBorder="1" applyAlignment="1">
      <alignment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/>
    </xf>
    <xf numFmtId="0" fontId="45" fillId="2" borderId="5" xfId="0" applyFont="1" applyFill="1" applyBorder="1" applyAlignment="1">
      <alignment horizontal="center" vertical="center"/>
    </xf>
    <xf numFmtId="0" fontId="45" fillId="2" borderId="3" xfId="0" applyFont="1" applyFill="1" applyBorder="1" applyAlignment="1">
      <alignment horizontal="center" vertical="center"/>
    </xf>
    <xf numFmtId="0" fontId="45" fillId="0" borderId="3" xfId="0" applyFont="1" applyBorder="1">
      <alignment vertical="center"/>
    </xf>
    <xf numFmtId="0" fontId="50" fillId="2" borderId="3" xfId="0" applyFont="1" applyFill="1" applyBorder="1" applyAlignment="1">
      <alignment horizontal="center" vertical="center"/>
    </xf>
    <xf numFmtId="0" fontId="45" fillId="2" borderId="3" xfId="0" applyFont="1" applyFill="1" applyBorder="1">
      <alignment vertical="center"/>
    </xf>
    <xf numFmtId="0" fontId="44" fillId="2" borderId="3" xfId="0" applyFont="1" applyFill="1" applyBorder="1" applyAlignment="1">
      <alignment horizontal="center" vertical="center" wrapText="1"/>
    </xf>
    <xf numFmtId="0" fontId="45" fillId="2" borderId="3" xfId="0" applyFont="1" applyFill="1" applyBorder="1" applyAlignment="1">
      <alignment vertical="center" wrapText="1"/>
    </xf>
    <xf numFmtId="0" fontId="45" fillId="0" borderId="0" xfId="0" applyFont="1" applyAlignment="1">
      <alignment vertical="center" wrapText="1"/>
    </xf>
    <xf numFmtId="0" fontId="51" fillId="0" borderId="0" xfId="0" applyFont="1">
      <alignment vertical="center"/>
    </xf>
    <xf numFmtId="41" fontId="45" fillId="0" borderId="0" xfId="1" applyFont="1">
      <alignment vertical="center"/>
    </xf>
    <xf numFmtId="0" fontId="45" fillId="5" borderId="3" xfId="0" applyFont="1" applyFill="1" applyBorder="1" applyAlignment="1">
      <alignment horizontal="center" vertical="center"/>
    </xf>
    <xf numFmtId="0" fontId="49" fillId="5" borderId="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409575</xdr:colOff>
      <xdr:row>30</xdr:row>
      <xdr:rowOff>133350</xdr:rowOff>
    </xdr:from>
    <xdr:ext cx="6620338" cy="3450304"/>
    <xdr:sp macro="" textlink="">
      <xdr:nvSpPr>
        <xdr:cNvPr id="2" name="TextBox 1"/>
        <xdr:cNvSpPr txBox="1"/>
      </xdr:nvSpPr>
      <xdr:spPr>
        <a:xfrm>
          <a:off x="409575" y="5276850"/>
          <a:ext cx="6620338" cy="3450304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A.uri </a:t>
          </a:r>
          <a:r>
            <a:rPr lang="ko-KR" altLang="en-US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서비스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,s.svckor `</a:t>
          </a:r>
          <a:r>
            <a:rPr lang="ko-KR" altLang="en-US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서비스명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`,</a:t>
          </a:r>
        </a:p>
        <a:p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A.sdata </a:t>
          </a:r>
          <a:r>
            <a:rPr lang="ko-KR" altLang="en-US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송신데이터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,A.svctime </a:t>
          </a:r>
          <a:r>
            <a:rPr lang="ko-KR" altLang="en-US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소요시간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,</a:t>
          </a:r>
          <a:r>
            <a:rPr lang="ko-KR" altLang="en-US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B.svctime </a:t>
          </a:r>
          <a:r>
            <a:rPr lang="ko-KR" altLang="en-US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원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_</a:t>
          </a:r>
          <a:r>
            <a:rPr lang="ko-KR" altLang="en-US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소요시간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,</a:t>
          </a:r>
        </a:p>
        <a:p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(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SUBSTR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(A.rdata,1,100)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CHARSET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UTF8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ko-KR" altLang="en-US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수신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,</a:t>
          </a:r>
        </a:p>
        <a:p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(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SUBSTR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(B.rdata,1,100)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CHARSET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UTF8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ko-KR" altLang="en-US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원수신</a:t>
          </a:r>
        </a:p>
        <a:p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ttcppacket A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tloaddata B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(A.cmpid = B.pkey) </a:t>
          </a:r>
        </a:p>
        <a:p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tservice s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(A.appid = s.appid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A.uri = s.svcid )</a:t>
          </a:r>
        </a:p>
        <a:p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a.tcode = 'TN10'</a:t>
          </a:r>
        </a:p>
        <a:p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SUBSTR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(A.rdata,1,100) != </a:t>
          </a:r>
          <a:r>
            <a:rPr lang="en-US" altLang="ko-KR" sz="11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SUBSTR</a:t>
          </a:r>
          <a:r>
            <a:rPr lang="en-US" altLang="ko-KR" sz="11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(B.rdata,1,100)</a:t>
          </a:r>
        </a:p>
        <a:p>
          <a:endParaRPr lang="ko-KR" altLang="en-US" sz="1100" b="0" i="0" u="none" strike="noStrike" baseline="0" smtClean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/>
            <a:t/>
          </a:r>
          <a:br>
            <a:rPr lang="en-US" altLang="ko-KR"/>
          </a:br>
          <a:r>
            <a:rPr lang="en-US" altLang="ko-KR"/>
            <a:t>###########################################</a:t>
          </a:r>
          <a:br>
            <a:rPr lang="en-US" altLang="ko-KR"/>
          </a:br>
          <a:r>
            <a:rPr lang="en-US" altLang="ko-KR"/>
            <a:t> CAST( substr(a.rdata,1,100) AS CHAR CHARSET UTF8) `</a:t>
          </a:r>
          <a:r>
            <a:rPr lang="ko-KR" altLang="en-US"/>
            <a:t>수신데이터</a:t>
          </a:r>
          <a:r>
            <a:rPr lang="en-US" altLang="ko-KR"/>
            <a:t>` ,   -- </a:t>
          </a:r>
          <a:r>
            <a:rPr lang="ko-KR" altLang="en-US"/>
            <a:t>데이터 표현하고 싶은 크기만큼 지정 </a:t>
          </a:r>
          <a:br>
            <a:rPr lang="ko-KR" altLang="en-US"/>
          </a:br>
          <a:r>
            <a:rPr lang="ko-KR" altLang="en-US"/>
            <a:t> </a:t>
          </a:r>
          <a:r>
            <a:rPr lang="en-US" altLang="ko-KR"/>
            <a:t>AND SUBSTR(A.RDATA,1,100) != SUBSTR(b.RDATA,1,100)  -- &lt;- </a:t>
          </a:r>
          <a:r>
            <a:rPr lang="ko-KR" altLang="en-US"/>
            <a:t>이부분에서 다르게 판단하는 조건을 주면 됨</a:t>
          </a:r>
          <a:br>
            <a:rPr lang="ko-KR" altLang="en-US"/>
          </a:br>
          <a:r>
            <a:rPr lang="ko-KR" altLang="en-US"/>
            <a:t/>
          </a:r>
          <a:br>
            <a:rPr lang="ko-KR" altLang="en-US"/>
          </a:br>
          <a:endParaRPr lang="ko-KR" altLang="en-US"/>
        </a:p>
        <a:p>
          <a:r>
            <a:rPr lang="ko-KR" altLang="en-US"/>
            <a:t/>
          </a:r>
          <a:br>
            <a:rPr lang="ko-KR" altLang="en-US"/>
          </a:br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7</xdr:row>
      <xdr:rowOff>114300</xdr:rowOff>
    </xdr:from>
    <xdr:to>
      <xdr:col>8</xdr:col>
      <xdr:colOff>275602</xdr:colOff>
      <xdr:row>37</xdr:row>
      <xdr:rowOff>132562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1581150"/>
          <a:ext cx="4980952" cy="6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657225</xdr:colOff>
      <xdr:row>6</xdr:row>
      <xdr:rowOff>152400</xdr:rowOff>
    </xdr:from>
    <xdr:to>
      <xdr:col>20</xdr:col>
      <xdr:colOff>571500</xdr:colOff>
      <xdr:row>31</xdr:row>
      <xdr:rowOff>9525</xdr:rowOff>
    </xdr:to>
    <xdr:sp macro="" textlink="">
      <xdr:nvSpPr>
        <xdr:cNvPr id="2" name="직사각형 1"/>
        <xdr:cNvSpPr/>
      </xdr:nvSpPr>
      <xdr:spPr>
        <a:xfrm>
          <a:off x="7515225" y="1409700"/>
          <a:ext cx="6772275" cy="5095875"/>
        </a:xfrm>
        <a:prstGeom prst="rect">
          <a:avLst/>
        </a:prstGeom>
        <a:solidFill>
          <a:schemeClr val="bg2"/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228600</xdr:colOff>
      <xdr:row>7</xdr:row>
      <xdr:rowOff>38100</xdr:rowOff>
    </xdr:from>
    <xdr:to>
      <xdr:col>10</xdr:col>
      <xdr:colOff>142875</xdr:colOff>
      <xdr:row>31</xdr:row>
      <xdr:rowOff>104775</xdr:rowOff>
    </xdr:to>
    <xdr:sp macro="" textlink="">
      <xdr:nvSpPr>
        <xdr:cNvPr id="3" name="직사각형 2"/>
        <xdr:cNvSpPr/>
      </xdr:nvSpPr>
      <xdr:spPr>
        <a:xfrm>
          <a:off x="228600" y="1504950"/>
          <a:ext cx="6772275" cy="5095875"/>
        </a:xfrm>
        <a:prstGeom prst="rect">
          <a:avLst/>
        </a:prstGeom>
        <a:solidFill>
          <a:schemeClr val="bg2"/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681038</xdr:colOff>
      <xdr:row>9</xdr:row>
      <xdr:rowOff>161925</xdr:rowOff>
    </xdr:from>
    <xdr:to>
      <xdr:col>2</xdr:col>
      <xdr:colOff>671513</xdr:colOff>
      <xdr:row>12</xdr:row>
      <xdr:rowOff>173934</xdr:rowOff>
    </xdr:to>
    <xdr:sp macro="" textlink="">
      <xdr:nvSpPr>
        <xdr:cNvPr id="4" name="직사각형 3"/>
        <xdr:cNvSpPr/>
      </xdr:nvSpPr>
      <xdr:spPr>
        <a:xfrm>
          <a:off x="681038" y="2025512"/>
          <a:ext cx="1365388" cy="63320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/>
            <a:t>1. </a:t>
          </a:r>
          <a:r>
            <a:rPr lang="ko-KR" altLang="en-US" sz="1100" b="1"/>
            <a:t>작업등록감시</a:t>
          </a:r>
          <a:endParaRPr lang="en-US" altLang="ko-KR" sz="1100" b="1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aqt_execMstjs.sh</a:t>
          </a:r>
          <a:endParaRPr lang="ko-KR" altLang="ko-KR">
            <a:effectLst/>
          </a:endParaRPr>
        </a:p>
      </xdr:txBody>
    </xdr:sp>
    <xdr:clientData/>
  </xdr:twoCellAnchor>
  <xdr:twoCellAnchor>
    <xdr:from>
      <xdr:col>3</xdr:col>
      <xdr:colOff>571499</xdr:colOff>
      <xdr:row>9</xdr:row>
      <xdr:rowOff>104775</xdr:rowOff>
    </xdr:from>
    <xdr:to>
      <xdr:col>8</xdr:col>
      <xdr:colOff>621196</xdr:colOff>
      <xdr:row>14</xdr:row>
      <xdr:rowOff>8283</xdr:rowOff>
    </xdr:to>
    <xdr:sp macro="" textlink="">
      <xdr:nvSpPr>
        <xdr:cNvPr id="5" name="모서리가 둥근 직사각형 4"/>
        <xdr:cNvSpPr/>
      </xdr:nvSpPr>
      <xdr:spPr>
        <a:xfrm>
          <a:off x="2633869" y="1968362"/>
          <a:ext cx="3486979" cy="938834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작업요청이 등록되면 </a:t>
          </a:r>
          <a:r>
            <a:rPr lang="en-US" altLang="ko-KR" sz="1100"/>
            <a:t>'</a:t>
          </a:r>
          <a:r>
            <a:rPr lang="ko-KR" altLang="en-US" sz="1100"/>
            <a:t>진행중으로 변경하고 작업종류 </a:t>
          </a:r>
          <a:r>
            <a:rPr lang="en-US" altLang="ko-KR" sz="1100"/>
            <a:t>2 : aqt_dumpToDb.js ,</a:t>
          </a:r>
        </a:p>
        <a:p>
          <a:pPr algn="l"/>
          <a:r>
            <a:rPr lang="en-US" altLang="ko-KR" sz="1100" baseline="0"/>
            <a:t>                   9 : lib/sendMain3.js </a:t>
          </a:r>
          <a:r>
            <a:rPr lang="ko-KR" altLang="en-US" sz="1100" baseline="0"/>
            <a:t>실행</a:t>
          </a:r>
          <a:endParaRPr lang="ko-KR" altLang="en-US" sz="1100"/>
        </a:p>
      </xdr:txBody>
    </xdr:sp>
    <xdr:clientData/>
  </xdr:twoCellAnchor>
  <xdr:twoCellAnchor>
    <xdr:from>
      <xdr:col>1</xdr:col>
      <xdr:colOff>209550</xdr:colOff>
      <xdr:row>14</xdr:row>
      <xdr:rowOff>104775</xdr:rowOff>
    </xdr:from>
    <xdr:to>
      <xdr:col>3</xdr:col>
      <xdr:colOff>76200</xdr:colOff>
      <xdr:row>18</xdr:row>
      <xdr:rowOff>66261</xdr:rowOff>
    </xdr:to>
    <xdr:sp macro="" textlink="">
      <xdr:nvSpPr>
        <xdr:cNvPr id="6" name="직사각형 5"/>
        <xdr:cNvSpPr/>
      </xdr:nvSpPr>
      <xdr:spPr>
        <a:xfrm>
          <a:off x="897007" y="3003688"/>
          <a:ext cx="1241563" cy="789747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/>
            <a:t>2. </a:t>
          </a:r>
          <a:r>
            <a:rPr lang="ko-KR" altLang="en-US" sz="1100" b="1"/>
            <a:t>작업실행</a:t>
          </a:r>
          <a:endParaRPr lang="en-US" altLang="ko-KR" sz="1100" b="1"/>
        </a:p>
        <a:p>
          <a:pPr algn="l"/>
          <a:r>
            <a:rPr lang="en-US" altLang="ko-KR" sz="1100" b="1"/>
            <a:t>aqt_execjob.js</a:t>
          </a:r>
          <a:endParaRPr lang="ko-KR" altLang="en-US" sz="1100" b="1"/>
        </a:p>
      </xdr:txBody>
    </xdr:sp>
    <xdr:clientData/>
  </xdr:twoCellAnchor>
  <xdr:twoCellAnchor>
    <xdr:from>
      <xdr:col>4</xdr:col>
      <xdr:colOff>202509</xdr:colOff>
      <xdr:row>14</xdr:row>
      <xdr:rowOff>87216</xdr:rowOff>
    </xdr:from>
    <xdr:to>
      <xdr:col>9</xdr:col>
      <xdr:colOff>207065</xdr:colOff>
      <xdr:row>18</xdr:row>
      <xdr:rowOff>182798</xdr:rowOff>
    </xdr:to>
    <xdr:sp macro="" textlink="">
      <xdr:nvSpPr>
        <xdr:cNvPr id="7" name="모서리가 둥근 직사각형 6"/>
        <xdr:cNvSpPr/>
      </xdr:nvSpPr>
      <xdr:spPr>
        <a:xfrm>
          <a:off x="2952335" y="2986129"/>
          <a:ext cx="3441839" cy="923843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요청된 </a:t>
          </a:r>
          <a:r>
            <a:rPr lang="en-US" altLang="ko-KR" sz="1100"/>
            <a:t>id</a:t>
          </a:r>
          <a:r>
            <a:rPr lang="en-US" altLang="ko-KR" sz="1100" baseline="0"/>
            <a:t> </a:t>
          </a:r>
          <a:r>
            <a:rPr lang="ko-KR" altLang="en-US" sz="1100" baseline="0"/>
            <a:t>의 </a:t>
          </a:r>
          <a:r>
            <a:rPr lang="en-US" altLang="ko-KR" sz="1100" baseline="0"/>
            <a:t>tmaster </a:t>
          </a:r>
          <a:r>
            <a:rPr lang="ko-KR" altLang="en-US" sz="1100" baseline="0"/>
            <a:t>정보를 읽어 </a:t>
          </a:r>
          <a:r>
            <a:rPr lang="ko-KR" altLang="en-US" sz="1100"/>
            <a:t>해당조건에 해당하는</a:t>
          </a:r>
          <a:r>
            <a:rPr lang="en-US" altLang="ko-KR" sz="1100" baseline="0"/>
            <a:t> </a:t>
          </a:r>
          <a:r>
            <a:rPr lang="ko-KR" altLang="en-US" sz="1100" baseline="0"/>
            <a:t>프로그램 실행 </a:t>
          </a:r>
          <a:r>
            <a:rPr lang="en-US" altLang="ko-KR" sz="1100" baseline="0"/>
            <a:t>(tcpRequest,httpRequest,udpRequest)</a:t>
          </a:r>
          <a:endParaRPr lang="ko-KR" altLang="en-US" sz="1100"/>
        </a:p>
      </xdr:txBody>
    </xdr:sp>
    <xdr:clientData/>
  </xdr:twoCellAnchor>
  <xdr:twoCellAnchor>
    <xdr:from>
      <xdr:col>1</xdr:col>
      <xdr:colOff>381000</xdr:colOff>
      <xdr:row>20</xdr:row>
      <xdr:rowOff>82830</xdr:rowOff>
    </xdr:from>
    <xdr:to>
      <xdr:col>3</xdr:col>
      <xdr:colOff>247650</xdr:colOff>
      <xdr:row>22</xdr:row>
      <xdr:rowOff>168555</xdr:rowOff>
    </xdr:to>
    <xdr:sp macro="" textlink="">
      <xdr:nvSpPr>
        <xdr:cNvPr id="8" name="직사각형 7"/>
        <xdr:cNvSpPr/>
      </xdr:nvSpPr>
      <xdr:spPr>
        <a:xfrm>
          <a:off x="1068457" y="4224134"/>
          <a:ext cx="1241563" cy="499856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/>
            <a:t>3. </a:t>
          </a:r>
          <a:r>
            <a:rPr lang="ko-KR" altLang="en-US" sz="1100" b="1"/>
            <a:t>테스트 큐 등록</a:t>
          </a:r>
          <a:r>
            <a:rPr lang="en-US" altLang="ko-KR" sz="1100" b="1"/>
            <a:t> aqt_sendS</a:t>
          </a:r>
          <a:endParaRPr lang="ko-KR" altLang="en-US" sz="1100" b="1"/>
        </a:p>
      </xdr:txBody>
    </xdr:sp>
    <xdr:clientData/>
  </xdr:twoCellAnchor>
  <xdr:twoCellAnchor>
    <xdr:from>
      <xdr:col>1</xdr:col>
      <xdr:colOff>561975</xdr:colOff>
      <xdr:row>25</xdr:row>
      <xdr:rowOff>161925</xdr:rowOff>
    </xdr:from>
    <xdr:to>
      <xdr:col>3</xdr:col>
      <xdr:colOff>428625</xdr:colOff>
      <xdr:row>28</xdr:row>
      <xdr:rowOff>38100</xdr:rowOff>
    </xdr:to>
    <xdr:sp macro="" textlink="">
      <xdr:nvSpPr>
        <xdr:cNvPr id="9" name="직사각형 8"/>
        <xdr:cNvSpPr/>
      </xdr:nvSpPr>
      <xdr:spPr>
        <a:xfrm>
          <a:off x="1247775" y="5400675"/>
          <a:ext cx="1238250" cy="50482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/>
            <a:t>4. </a:t>
          </a:r>
          <a:r>
            <a:rPr lang="ko-KR" altLang="en-US" sz="1100" b="1"/>
            <a:t>전문송신</a:t>
          </a:r>
          <a:endParaRPr lang="en-US" altLang="ko-KR" sz="1100" b="1"/>
        </a:p>
        <a:p>
          <a:pPr algn="l"/>
          <a:r>
            <a:rPr lang="en-US" altLang="ko-KR" sz="1100" b="1"/>
            <a:t>aqt_sendM</a:t>
          </a:r>
          <a:endParaRPr lang="ko-KR" altLang="en-US" sz="1100" b="1"/>
        </a:p>
      </xdr:txBody>
    </xdr:sp>
    <xdr:clientData/>
  </xdr:twoCellAnchor>
  <xdr:twoCellAnchor>
    <xdr:from>
      <xdr:col>4</xdr:col>
      <xdr:colOff>495299</xdr:colOff>
      <xdr:row>19</xdr:row>
      <xdr:rowOff>75790</xdr:rowOff>
    </xdr:from>
    <xdr:to>
      <xdr:col>9</xdr:col>
      <xdr:colOff>200024</xdr:colOff>
      <xdr:row>23</xdr:row>
      <xdr:rowOff>168555</xdr:rowOff>
    </xdr:to>
    <xdr:sp macro="" textlink="">
      <xdr:nvSpPr>
        <xdr:cNvPr id="10" name="모서리가 둥근 직사각형 9"/>
        <xdr:cNvSpPr/>
      </xdr:nvSpPr>
      <xdr:spPr>
        <a:xfrm>
          <a:off x="3245125" y="4010029"/>
          <a:ext cx="3142008" cy="921026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작업큐를 만들고 작업수 만큼 </a:t>
          </a:r>
          <a:r>
            <a:rPr lang="en-US" altLang="ko-KR" sz="1100"/>
            <a:t>aqt_sendM </a:t>
          </a:r>
          <a:r>
            <a:rPr lang="ko-KR" altLang="en-US" sz="1100"/>
            <a:t>자식프로세스를 생성한다</a:t>
          </a:r>
          <a:r>
            <a:rPr lang="en-US" altLang="ko-KR" sz="1100"/>
            <a:t>.</a:t>
          </a:r>
        </a:p>
        <a:p>
          <a:pPr algn="l"/>
          <a:r>
            <a:rPr lang="ko-KR" altLang="en-US" sz="1100"/>
            <a:t>작업큐에  테스트전문</a:t>
          </a:r>
          <a:r>
            <a:rPr lang="en-US" altLang="ko-KR" sz="1100"/>
            <a:t>id</a:t>
          </a:r>
          <a:r>
            <a:rPr lang="ko-KR" altLang="en-US" sz="1100"/>
            <a:t>를 등록한다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5</xdr:col>
      <xdr:colOff>9525</xdr:colOff>
      <xdr:row>24</xdr:row>
      <xdr:rowOff>171450</xdr:rowOff>
    </xdr:from>
    <xdr:to>
      <xdr:col>9</xdr:col>
      <xdr:colOff>400050</xdr:colOff>
      <xdr:row>29</xdr:row>
      <xdr:rowOff>57150</xdr:rowOff>
    </xdr:to>
    <xdr:sp macro="" textlink="">
      <xdr:nvSpPr>
        <xdr:cNvPr id="11" name="모서리가 둥근 직사각형 10"/>
        <xdr:cNvSpPr/>
      </xdr:nvSpPr>
      <xdr:spPr>
        <a:xfrm>
          <a:off x="3438525" y="5200650"/>
          <a:ext cx="3133725" cy="933450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작업큐에서 </a:t>
          </a:r>
          <a:r>
            <a:rPr lang="en-US" altLang="ko-KR" sz="1100"/>
            <a:t>id</a:t>
          </a:r>
          <a:r>
            <a:rPr lang="ko-KR" altLang="en-US" sz="1100"/>
            <a:t>를 일고 해당 전문을 </a:t>
          </a:r>
          <a:r>
            <a:rPr lang="en-US" altLang="ko-KR" sz="1100"/>
            <a:t>tpcall </a:t>
          </a:r>
          <a:r>
            <a:rPr lang="ko-KR" altLang="en-US" sz="1100"/>
            <a:t>한후 결과를 저장한다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7</xdr:col>
      <xdr:colOff>552451</xdr:colOff>
      <xdr:row>0</xdr:row>
      <xdr:rowOff>95250</xdr:rowOff>
    </xdr:from>
    <xdr:to>
      <xdr:col>10</xdr:col>
      <xdr:colOff>400051</xdr:colOff>
      <xdr:row>3</xdr:row>
      <xdr:rowOff>95250</xdr:rowOff>
    </xdr:to>
    <xdr:sp macro="" textlink="">
      <xdr:nvSpPr>
        <xdr:cNvPr id="12" name="직사각형 11"/>
        <xdr:cNvSpPr/>
      </xdr:nvSpPr>
      <xdr:spPr>
        <a:xfrm>
          <a:off x="5353051" y="95250"/>
          <a:ext cx="1905000" cy="62865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1"/>
            <a:t>데몬프로그램  시작</a:t>
          </a:r>
          <a:endParaRPr lang="en-US" altLang="ko-KR" sz="1200" b="1"/>
        </a:p>
        <a:p>
          <a:pPr algn="l"/>
          <a:r>
            <a:rPr lang="en-US" altLang="ko-KR" sz="1200" b="1"/>
            <a:t>aqtctl</a:t>
          </a:r>
          <a:r>
            <a:rPr lang="en-US" altLang="ko-KR" sz="1200" b="1" baseline="0"/>
            <a:t> start [tcp,http]</a:t>
          </a:r>
          <a:endParaRPr lang="ko-KR" altLang="en-US" sz="1200" b="1"/>
        </a:p>
      </xdr:txBody>
    </xdr:sp>
    <xdr:clientData/>
  </xdr:twoCellAnchor>
  <xdr:twoCellAnchor>
    <xdr:from>
      <xdr:col>11</xdr:col>
      <xdr:colOff>552450</xdr:colOff>
      <xdr:row>10</xdr:row>
      <xdr:rowOff>190500</xdr:rowOff>
    </xdr:from>
    <xdr:to>
      <xdr:col>13</xdr:col>
      <xdr:colOff>419100</xdr:colOff>
      <xdr:row>14</xdr:row>
      <xdr:rowOff>107674</xdr:rowOff>
    </xdr:to>
    <xdr:sp macro="" textlink="">
      <xdr:nvSpPr>
        <xdr:cNvPr id="13" name="직사각형 12"/>
        <xdr:cNvSpPr/>
      </xdr:nvSpPr>
      <xdr:spPr>
        <a:xfrm>
          <a:off x="8114472" y="2261152"/>
          <a:ext cx="1241563" cy="74543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/>
            <a:t>1. </a:t>
          </a:r>
          <a:r>
            <a:rPr lang="ko-KR" altLang="en-US" sz="1100" b="1"/>
            <a:t>건별등록감시</a:t>
          </a:r>
          <a:endParaRPr lang="en-US" altLang="ko-KR" sz="1100" b="1"/>
        </a:p>
        <a:p>
          <a:pPr algn="l"/>
          <a:r>
            <a:rPr lang="en-US" altLang="ko-KR" sz="1100" b="1"/>
            <a:t>aqt_resend.js</a:t>
          </a:r>
          <a:endParaRPr lang="ko-KR" altLang="en-US" sz="1100" b="1"/>
        </a:p>
      </xdr:txBody>
    </xdr:sp>
    <xdr:clientData/>
  </xdr:twoCellAnchor>
  <xdr:twoCellAnchor>
    <xdr:from>
      <xdr:col>14</xdr:col>
      <xdr:colOff>76200</xdr:colOff>
      <xdr:row>8</xdr:row>
      <xdr:rowOff>171450</xdr:rowOff>
    </xdr:from>
    <xdr:to>
      <xdr:col>19</xdr:col>
      <xdr:colOff>304800</xdr:colOff>
      <xdr:row>14</xdr:row>
      <xdr:rowOff>190500</xdr:rowOff>
    </xdr:to>
    <xdr:sp macro="" textlink="">
      <xdr:nvSpPr>
        <xdr:cNvPr id="14" name="모서리가 둥근 직사각형 13"/>
        <xdr:cNvSpPr/>
      </xdr:nvSpPr>
      <xdr:spPr>
        <a:xfrm>
          <a:off x="9677400" y="1847850"/>
          <a:ext cx="3657600" cy="1276350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작업큐 생성</a:t>
          </a:r>
          <a:r>
            <a:rPr lang="en-US" altLang="ko-KR" sz="1100"/>
            <a:t>, aqt_reqsub </a:t>
          </a:r>
          <a:r>
            <a:rPr lang="ko-KR" altLang="en-US" sz="1100"/>
            <a:t>자식프로세스 생성</a:t>
          </a:r>
          <a:endParaRPr lang="en-US" altLang="ko-KR" sz="1100"/>
        </a:p>
        <a:p>
          <a:pPr algn="l"/>
          <a:r>
            <a:rPr lang="ko-KR" altLang="en-US" sz="1100"/>
            <a:t>재전송요청 전문</a:t>
          </a:r>
          <a:r>
            <a:rPr lang="en-US" altLang="ko-KR" sz="1100"/>
            <a:t>id </a:t>
          </a:r>
          <a:r>
            <a:rPr lang="ko-KR" altLang="en-US" sz="1100"/>
            <a:t>작업큐에 등록</a:t>
          </a:r>
          <a:r>
            <a:rPr lang="en-US" altLang="ko-KR" sz="1100"/>
            <a:t/>
          </a:r>
          <a:br>
            <a:rPr lang="en-US" altLang="ko-KR" sz="1100"/>
          </a:br>
          <a:r>
            <a:rPr lang="en-US" altLang="ko-KR" sz="1100"/>
            <a:t>(**</a:t>
          </a:r>
          <a:r>
            <a:rPr lang="en-US" altLang="ko-KR" sz="1100" baseline="0"/>
            <a:t> aqt_reqsub </a:t>
          </a:r>
          <a:r>
            <a:rPr lang="ko-KR" altLang="en-US" sz="1100" baseline="0"/>
            <a:t>이 갯수는 기본값 </a:t>
          </a:r>
          <a:r>
            <a:rPr lang="en-US" altLang="ko-KR" sz="1100" baseline="0"/>
            <a:t>5,   </a:t>
          </a:r>
          <a:r>
            <a:rPr lang="ko-KR" altLang="en-US" sz="1100" baseline="0"/>
            <a:t>조정해야할경우 </a:t>
          </a:r>
          <a:r>
            <a:rPr lang="en-US" altLang="ko-KR" sz="1100" baseline="0"/>
            <a:t>aqt_deamon.sh </a:t>
          </a:r>
          <a:r>
            <a:rPr lang="ko-KR" altLang="en-US" sz="1100" baseline="0"/>
            <a:t>에서 </a:t>
          </a:r>
          <a:r>
            <a:rPr lang="en-US" altLang="ko-KR" sz="1100" baseline="0"/>
            <a:t>"aqt_request  </a:t>
          </a:r>
          <a:r>
            <a:rPr lang="ko-KR" altLang="en-US" sz="1100" baseline="0"/>
            <a:t>숫자</a:t>
          </a:r>
          <a:r>
            <a:rPr lang="en-US" altLang="ko-KR" sz="1100" baseline="0"/>
            <a:t>" </a:t>
          </a:r>
          <a:r>
            <a:rPr lang="ko-KR" altLang="en-US" sz="1100" baseline="0"/>
            <a:t> 형식으로 실행</a:t>
          </a:r>
          <a:endParaRPr lang="en-US" altLang="ko-KR" sz="1100"/>
        </a:p>
      </xdr:txBody>
    </xdr:sp>
    <xdr:clientData/>
  </xdr:twoCellAnchor>
  <xdr:twoCellAnchor>
    <xdr:from>
      <xdr:col>12</xdr:col>
      <xdr:colOff>219075</xdr:colOff>
      <xdr:row>17</xdr:row>
      <xdr:rowOff>142875</xdr:rowOff>
    </xdr:from>
    <xdr:to>
      <xdr:col>14</xdr:col>
      <xdr:colOff>85725</xdr:colOff>
      <xdr:row>20</xdr:row>
      <xdr:rowOff>19050</xdr:rowOff>
    </xdr:to>
    <xdr:sp macro="" textlink="">
      <xdr:nvSpPr>
        <xdr:cNvPr id="15" name="직사각형 14"/>
        <xdr:cNvSpPr/>
      </xdr:nvSpPr>
      <xdr:spPr>
        <a:xfrm>
          <a:off x="8448675" y="3705225"/>
          <a:ext cx="1238250" cy="50482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 baseline="0"/>
            <a:t> 2. </a:t>
          </a:r>
          <a:r>
            <a:rPr lang="ko-KR" altLang="en-US" sz="1100" b="1" baseline="0"/>
            <a:t>전문송신</a:t>
          </a:r>
          <a:endParaRPr lang="en-US" altLang="ko-KR" sz="1100" b="1"/>
        </a:p>
        <a:p>
          <a:pPr algn="l"/>
          <a:r>
            <a:rPr lang="en-US" altLang="ko-KR" sz="1100" b="1"/>
            <a:t>aqt_reqsub</a:t>
          </a:r>
          <a:endParaRPr lang="ko-KR" altLang="en-US" sz="1100" b="1"/>
        </a:p>
      </xdr:txBody>
    </xdr:sp>
    <xdr:clientData/>
  </xdr:twoCellAnchor>
  <xdr:twoCellAnchor>
    <xdr:from>
      <xdr:col>15</xdr:col>
      <xdr:colOff>247650</xdr:colOff>
      <xdr:row>16</xdr:row>
      <xdr:rowOff>161925</xdr:rowOff>
    </xdr:from>
    <xdr:to>
      <xdr:col>19</xdr:col>
      <xdr:colOff>638175</xdr:colOff>
      <xdr:row>21</xdr:row>
      <xdr:rowOff>47625</xdr:rowOff>
    </xdr:to>
    <xdr:sp macro="" textlink="">
      <xdr:nvSpPr>
        <xdr:cNvPr id="16" name="모서리가 둥근 직사각형 15"/>
        <xdr:cNvSpPr/>
      </xdr:nvSpPr>
      <xdr:spPr>
        <a:xfrm>
          <a:off x="10534650" y="3514725"/>
          <a:ext cx="3133725" cy="933450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작업큐에서 </a:t>
          </a:r>
          <a:r>
            <a:rPr lang="en-US" altLang="ko-KR" sz="1100"/>
            <a:t>id</a:t>
          </a:r>
          <a:r>
            <a:rPr lang="ko-KR" altLang="en-US" sz="1100"/>
            <a:t>를 읽어 해당 전문을 </a:t>
          </a:r>
          <a:r>
            <a:rPr lang="en-US" altLang="ko-KR" sz="1100"/>
            <a:t>tpcall </a:t>
          </a:r>
          <a:r>
            <a:rPr lang="ko-KR" altLang="en-US" sz="1100"/>
            <a:t>한후 결과를 저장한다</a:t>
          </a:r>
          <a:r>
            <a:rPr lang="en-US" altLang="ko-KR" sz="1100"/>
            <a:t>.</a:t>
          </a:r>
        </a:p>
        <a:p>
          <a:pPr algn="l"/>
          <a:r>
            <a:rPr lang="en-US" altLang="ko-KR" sz="1100"/>
            <a:t>aqt_sendM </a:t>
          </a:r>
          <a:r>
            <a:rPr lang="ko-KR" altLang="en-US" sz="1100"/>
            <a:t>과 다른점은 매건 </a:t>
          </a:r>
          <a:r>
            <a:rPr lang="en-US" altLang="ko-KR" sz="1100" baseline="0"/>
            <a:t> tpstart </a:t>
          </a:r>
          <a:r>
            <a:rPr lang="ko-KR" altLang="en-US" sz="1100" baseline="0"/>
            <a:t>함</a:t>
          </a:r>
          <a:endParaRPr lang="ko-KR" altLang="en-US" sz="1100"/>
        </a:p>
      </xdr:txBody>
    </xdr:sp>
    <xdr:clientData/>
  </xdr:twoCellAnchor>
  <xdr:twoCellAnchor>
    <xdr:from>
      <xdr:col>5</xdr:col>
      <xdr:colOff>185738</xdr:colOff>
      <xdr:row>3</xdr:row>
      <xdr:rowOff>95250</xdr:rowOff>
    </xdr:from>
    <xdr:to>
      <xdr:col>9</xdr:col>
      <xdr:colOff>133351</xdr:colOff>
      <xdr:row>7</xdr:row>
      <xdr:rowOff>38100</xdr:rowOff>
    </xdr:to>
    <xdr:cxnSp macro="">
      <xdr:nvCxnSpPr>
        <xdr:cNvPr id="17" name="직선 화살표 연결선 16"/>
        <xdr:cNvCxnSpPr>
          <a:stCxn id="12" idx="2"/>
          <a:endCxn id="3" idx="0"/>
        </xdr:cNvCxnSpPr>
      </xdr:nvCxnSpPr>
      <xdr:spPr>
        <a:xfrm flipH="1">
          <a:off x="3614738" y="723900"/>
          <a:ext cx="2690813" cy="781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133351</xdr:colOff>
      <xdr:row>3</xdr:row>
      <xdr:rowOff>95250</xdr:rowOff>
    </xdr:from>
    <xdr:to>
      <xdr:col>14</xdr:col>
      <xdr:colOff>171450</xdr:colOff>
      <xdr:row>6</xdr:row>
      <xdr:rowOff>142875</xdr:rowOff>
    </xdr:to>
    <xdr:cxnSp macro="">
      <xdr:nvCxnSpPr>
        <xdr:cNvPr id="18" name="직선 화살표 연결선 17"/>
        <xdr:cNvCxnSpPr>
          <a:stCxn id="12" idx="2"/>
        </xdr:cNvCxnSpPr>
      </xdr:nvCxnSpPr>
      <xdr:spPr>
        <a:xfrm>
          <a:off x="6305551" y="723900"/>
          <a:ext cx="3467099" cy="676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1</xdr:row>
      <xdr:rowOff>1</xdr:rowOff>
    </xdr:from>
    <xdr:to>
      <xdr:col>14</xdr:col>
      <xdr:colOff>47626</xdr:colOff>
      <xdr:row>3</xdr:row>
      <xdr:rowOff>95251</xdr:rowOff>
    </xdr:to>
    <xdr:sp macro="" textlink="">
      <xdr:nvSpPr>
        <xdr:cNvPr id="19" name="모서리가 둥근 직사각형 18"/>
        <xdr:cNvSpPr/>
      </xdr:nvSpPr>
      <xdr:spPr>
        <a:xfrm>
          <a:off x="7277100" y="209551"/>
          <a:ext cx="2371726" cy="514350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aqt_execMstjs.sh, aqt_resend.js </a:t>
          </a:r>
          <a:r>
            <a:rPr lang="ko-KR" altLang="en-US" sz="1100" baseline="0"/>
            <a:t>실행</a:t>
          </a:r>
          <a:endParaRPr lang="ko-KR" altLang="en-US" sz="1100"/>
        </a:p>
      </xdr:txBody>
    </xdr:sp>
    <xdr:clientData/>
  </xdr:twoCellAnchor>
  <xdr:twoCellAnchor>
    <xdr:from>
      <xdr:col>2</xdr:col>
      <xdr:colOff>671513</xdr:colOff>
      <xdr:row>11</xdr:row>
      <xdr:rowOff>64398</xdr:rowOff>
    </xdr:from>
    <xdr:to>
      <xdr:col>3</xdr:col>
      <xdr:colOff>571499</xdr:colOff>
      <xdr:row>11</xdr:row>
      <xdr:rowOff>160062</xdr:rowOff>
    </xdr:to>
    <xdr:cxnSp macro="">
      <xdr:nvCxnSpPr>
        <xdr:cNvPr id="20" name="직선 연결선 19"/>
        <xdr:cNvCxnSpPr>
          <a:stCxn id="4" idx="3"/>
          <a:endCxn id="5" idx="1"/>
        </xdr:cNvCxnSpPr>
      </xdr:nvCxnSpPr>
      <xdr:spPr>
        <a:xfrm>
          <a:off x="2046426" y="2342115"/>
          <a:ext cx="587443" cy="95664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16</xdr:row>
      <xdr:rowOff>85519</xdr:rowOff>
    </xdr:from>
    <xdr:to>
      <xdr:col>4</xdr:col>
      <xdr:colOff>202509</xdr:colOff>
      <xdr:row>16</xdr:row>
      <xdr:rowOff>135008</xdr:rowOff>
    </xdr:to>
    <xdr:cxnSp macro="">
      <xdr:nvCxnSpPr>
        <xdr:cNvPr id="21" name="직선 연결선 20"/>
        <xdr:cNvCxnSpPr>
          <a:stCxn id="6" idx="3"/>
          <a:endCxn id="7" idx="1"/>
        </xdr:cNvCxnSpPr>
      </xdr:nvCxnSpPr>
      <xdr:spPr>
        <a:xfrm>
          <a:off x="2138570" y="3398562"/>
          <a:ext cx="813765" cy="49489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21</xdr:row>
      <xdr:rowOff>122172</xdr:rowOff>
    </xdr:from>
    <xdr:to>
      <xdr:col>4</xdr:col>
      <xdr:colOff>495299</xdr:colOff>
      <xdr:row>21</xdr:row>
      <xdr:rowOff>125692</xdr:rowOff>
    </xdr:to>
    <xdr:cxnSp macro="">
      <xdr:nvCxnSpPr>
        <xdr:cNvPr id="22" name="직선 연결선 21"/>
        <xdr:cNvCxnSpPr>
          <a:stCxn id="8" idx="3"/>
          <a:endCxn id="10" idx="1"/>
        </xdr:cNvCxnSpPr>
      </xdr:nvCxnSpPr>
      <xdr:spPr>
        <a:xfrm flipV="1">
          <a:off x="2310020" y="4470542"/>
          <a:ext cx="935105" cy="352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26</xdr:row>
      <xdr:rowOff>204788</xdr:rowOff>
    </xdr:from>
    <xdr:to>
      <xdr:col>5</xdr:col>
      <xdr:colOff>9525</xdr:colOff>
      <xdr:row>27</xdr:row>
      <xdr:rowOff>9525</xdr:rowOff>
    </xdr:to>
    <xdr:cxnSp macro="">
      <xdr:nvCxnSpPr>
        <xdr:cNvPr id="23" name="직선 연결선 22"/>
        <xdr:cNvCxnSpPr>
          <a:stCxn id="9" idx="3"/>
          <a:endCxn id="11" idx="1"/>
        </xdr:cNvCxnSpPr>
      </xdr:nvCxnSpPr>
      <xdr:spPr>
        <a:xfrm>
          <a:off x="2486025" y="5653088"/>
          <a:ext cx="952500" cy="14287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419100</xdr:colOff>
      <xdr:row>11</xdr:row>
      <xdr:rowOff>180976</xdr:rowOff>
    </xdr:from>
    <xdr:to>
      <xdr:col>14</xdr:col>
      <xdr:colOff>76200</xdr:colOff>
      <xdr:row>12</xdr:row>
      <xdr:rowOff>149087</xdr:rowOff>
    </xdr:to>
    <xdr:cxnSp macro="">
      <xdr:nvCxnSpPr>
        <xdr:cNvPr id="24" name="직선 연결선 23"/>
        <xdr:cNvCxnSpPr>
          <a:stCxn id="13" idx="3"/>
          <a:endCxn id="14" idx="1"/>
        </xdr:cNvCxnSpPr>
      </xdr:nvCxnSpPr>
      <xdr:spPr>
        <a:xfrm flipV="1">
          <a:off x="9356035" y="2458693"/>
          <a:ext cx="344556" cy="175177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85725</xdr:colOff>
      <xdr:row>18</xdr:row>
      <xdr:rowOff>185738</xdr:rowOff>
    </xdr:from>
    <xdr:to>
      <xdr:col>15</xdr:col>
      <xdr:colOff>247650</xdr:colOff>
      <xdr:row>19</xdr:row>
      <xdr:rowOff>0</xdr:rowOff>
    </xdr:to>
    <xdr:cxnSp macro="">
      <xdr:nvCxnSpPr>
        <xdr:cNvPr id="25" name="직선 연결선 24"/>
        <xdr:cNvCxnSpPr>
          <a:stCxn id="15" idx="3"/>
          <a:endCxn id="16" idx="1"/>
        </xdr:cNvCxnSpPr>
      </xdr:nvCxnSpPr>
      <xdr:spPr>
        <a:xfrm>
          <a:off x="9686925" y="3957638"/>
          <a:ext cx="847725" cy="2381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676275</xdr:colOff>
      <xdr:row>12</xdr:row>
      <xdr:rowOff>173934</xdr:rowOff>
    </xdr:from>
    <xdr:to>
      <xdr:col>2</xdr:col>
      <xdr:colOff>142876</xdr:colOff>
      <xdr:row>14</xdr:row>
      <xdr:rowOff>104775</xdr:rowOff>
    </xdr:to>
    <xdr:cxnSp macro="">
      <xdr:nvCxnSpPr>
        <xdr:cNvPr id="26" name="직선 화살표 연결선 25"/>
        <xdr:cNvCxnSpPr>
          <a:stCxn id="4" idx="2"/>
          <a:endCxn id="6" idx="0"/>
        </xdr:cNvCxnSpPr>
      </xdr:nvCxnSpPr>
      <xdr:spPr>
        <a:xfrm>
          <a:off x="1363732" y="2658717"/>
          <a:ext cx="154057" cy="344971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142876</xdr:colOff>
      <xdr:row>18</xdr:row>
      <xdr:rowOff>66261</xdr:rowOff>
    </xdr:from>
    <xdr:to>
      <xdr:col>2</xdr:col>
      <xdr:colOff>314326</xdr:colOff>
      <xdr:row>20</xdr:row>
      <xdr:rowOff>82830</xdr:rowOff>
    </xdr:to>
    <xdr:cxnSp macro="">
      <xdr:nvCxnSpPr>
        <xdr:cNvPr id="27" name="직선 화살표 연결선 26"/>
        <xdr:cNvCxnSpPr>
          <a:stCxn id="6" idx="2"/>
          <a:endCxn id="8" idx="0"/>
        </xdr:cNvCxnSpPr>
      </xdr:nvCxnSpPr>
      <xdr:spPr>
        <a:xfrm>
          <a:off x="1517789" y="3793435"/>
          <a:ext cx="171450" cy="43069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314326</xdr:colOff>
      <xdr:row>22</xdr:row>
      <xdr:rowOff>168555</xdr:rowOff>
    </xdr:from>
    <xdr:to>
      <xdr:col>2</xdr:col>
      <xdr:colOff>495301</xdr:colOff>
      <xdr:row>25</xdr:row>
      <xdr:rowOff>161925</xdr:rowOff>
    </xdr:to>
    <xdr:cxnSp macro="">
      <xdr:nvCxnSpPr>
        <xdr:cNvPr id="28" name="직선 화살표 연결선 27"/>
        <xdr:cNvCxnSpPr>
          <a:stCxn id="8" idx="2"/>
          <a:endCxn id="9" idx="0"/>
        </xdr:cNvCxnSpPr>
      </xdr:nvCxnSpPr>
      <xdr:spPr>
        <a:xfrm>
          <a:off x="1689239" y="4723990"/>
          <a:ext cx="180975" cy="61456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657225</xdr:colOff>
      <xdr:row>6</xdr:row>
      <xdr:rowOff>152400</xdr:rowOff>
    </xdr:from>
    <xdr:to>
      <xdr:col>20</xdr:col>
      <xdr:colOff>571500</xdr:colOff>
      <xdr:row>31</xdr:row>
      <xdr:rowOff>9525</xdr:rowOff>
    </xdr:to>
    <xdr:sp macro="" textlink="">
      <xdr:nvSpPr>
        <xdr:cNvPr id="17" name="직사각형 16"/>
        <xdr:cNvSpPr/>
      </xdr:nvSpPr>
      <xdr:spPr>
        <a:xfrm>
          <a:off x="7515225" y="1409700"/>
          <a:ext cx="6772275" cy="5095875"/>
        </a:xfrm>
        <a:prstGeom prst="rect">
          <a:avLst/>
        </a:prstGeom>
        <a:solidFill>
          <a:schemeClr val="bg2"/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228600</xdr:colOff>
      <xdr:row>7</xdr:row>
      <xdr:rowOff>38100</xdr:rowOff>
    </xdr:from>
    <xdr:to>
      <xdr:col>10</xdr:col>
      <xdr:colOff>142875</xdr:colOff>
      <xdr:row>31</xdr:row>
      <xdr:rowOff>104775</xdr:rowOff>
    </xdr:to>
    <xdr:sp macro="" textlink="">
      <xdr:nvSpPr>
        <xdr:cNvPr id="16" name="직사각형 15"/>
        <xdr:cNvSpPr/>
      </xdr:nvSpPr>
      <xdr:spPr>
        <a:xfrm>
          <a:off x="228600" y="1504950"/>
          <a:ext cx="6772275" cy="5095875"/>
        </a:xfrm>
        <a:prstGeom prst="rect">
          <a:avLst/>
        </a:prstGeom>
        <a:solidFill>
          <a:schemeClr val="bg2"/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681038</xdr:colOff>
      <xdr:row>9</xdr:row>
      <xdr:rowOff>161925</xdr:rowOff>
    </xdr:from>
    <xdr:to>
      <xdr:col>2</xdr:col>
      <xdr:colOff>671513</xdr:colOff>
      <xdr:row>12</xdr:row>
      <xdr:rowOff>38100</xdr:rowOff>
    </xdr:to>
    <xdr:sp macro="" textlink="">
      <xdr:nvSpPr>
        <xdr:cNvPr id="2" name="직사각형 1"/>
        <xdr:cNvSpPr/>
      </xdr:nvSpPr>
      <xdr:spPr>
        <a:xfrm>
          <a:off x="681038" y="2047875"/>
          <a:ext cx="1362075" cy="50482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/>
            <a:t>1. </a:t>
          </a:r>
          <a:r>
            <a:rPr lang="ko-KR" altLang="en-US" sz="1100" b="1"/>
            <a:t>작업등록감시</a:t>
          </a:r>
          <a:endParaRPr lang="en-US" altLang="ko-KR" sz="1100" b="1"/>
        </a:p>
        <a:p>
          <a:pPr algn="l"/>
          <a:r>
            <a:rPr lang="en-US" altLang="ko-KR" sz="1100" b="1"/>
            <a:t>aqt_execMst.sh</a:t>
          </a:r>
          <a:endParaRPr lang="ko-KR" altLang="en-US" sz="1100" b="1"/>
        </a:p>
      </xdr:txBody>
    </xdr:sp>
    <xdr:clientData/>
  </xdr:twoCellAnchor>
  <xdr:twoCellAnchor>
    <xdr:from>
      <xdr:col>3</xdr:col>
      <xdr:colOff>571499</xdr:colOff>
      <xdr:row>9</xdr:row>
      <xdr:rowOff>104775</xdr:rowOff>
    </xdr:from>
    <xdr:to>
      <xdr:col>8</xdr:col>
      <xdr:colOff>276224</xdr:colOff>
      <xdr:row>12</xdr:row>
      <xdr:rowOff>114300</xdr:rowOff>
    </xdr:to>
    <xdr:sp macro="" textlink="">
      <xdr:nvSpPr>
        <xdr:cNvPr id="3" name="모서리가 둥근 직사각형 2"/>
        <xdr:cNvSpPr/>
      </xdr:nvSpPr>
      <xdr:spPr>
        <a:xfrm>
          <a:off x="2628899" y="1990725"/>
          <a:ext cx="3133725" cy="638175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작업요청이 등록되면 </a:t>
          </a:r>
          <a:r>
            <a:rPr lang="en-US" altLang="ko-KR" sz="1100"/>
            <a:t>'</a:t>
          </a:r>
          <a:r>
            <a:rPr lang="ko-KR" altLang="en-US" sz="1100"/>
            <a:t>진행중으로 변경하고 </a:t>
          </a:r>
          <a:r>
            <a:rPr lang="en-US" altLang="ko-KR" sz="1100"/>
            <a:t>aqt_execjob.sh </a:t>
          </a:r>
          <a:r>
            <a:rPr lang="ko-KR" altLang="en-US" sz="1100"/>
            <a:t>실행</a:t>
          </a:r>
        </a:p>
      </xdr:txBody>
    </xdr:sp>
    <xdr:clientData/>
  </xdr:twoCellAnchor>
  <xdr:twoCellAnchor>
    <xdr:from>
      <xdr:col>1</xdr:col>
      <xdr:colOff>209550</xdr:colOff>
      <xdr:row>14</xdr:row>
      <xdr:rowOff>104775</xdr:rowOff>
    </xdr:from>
    <xdr:to>
      <xdr:col>3</xdr:col>
      <xdr:colOff>76200</xdr:colOff>
      <xdr:row>16</xdr:row>
      <xdr:rowOff>190500</xdr:rowOff>
    </xdr:to>
    <xdr:sp macro="" textlink="">
      <xdr:nvSpPr>
        <xdr:cNvPr id="4" name="직사각형 3"/>
        <xdr:cNvSpPr/>
      </xdr:nvSpPr>
      <xdr:spPr>
        <a:xfrm>
          <a:off x="895350" y="3038475"/>
          <a:ext cx="1238250" cy="50482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/>
            <a:t>2. </a:t>
          </a:r>
          <a:r>
            <a:rPr lang="ko-KR" altLang="en-US" sz="1100" b="1"/>
            <a:t>작업실행</a:t>
          </a:r>
          <a:endParaRPr lang="en-US" altLang="ko-KR" sz="1100" b="1"/>
        </a:p>
        <a:p>
          <a:pPr algn="l"/>
          <a:r>
            <a:rPr lang="en-US" altLang="ko-KR" sz="1100" b="1"/>
            <a:t>aqt_execjob.sh</a:t>
          </a:r>
          <a:endParaRPr lang="ko-KR" altLang="en-US" sz="1100" b="1"/>
        </a:p>
      </xdr:txBody>
    </xdr:sp>
    <xdr:clientData/>
  </xdr:twoCellAnchor>
  <xdr:twoCellAnchor>
    <xdr:from>
      <xdr:col>4</xdr:col>
      <xdr:colOff>28574</xdr:colOff>
      <xdr:row>14</xdr:row>
      <xdr:rowOff>38100</xdr:rowOff>
    </xdr:from>
    <xdr:to>
      <xdr:col>8</xdr:col>
      <xdr:colOff>419099</xdr:colOff>
      <xdr:row>17</xdr:row>
      <xdr:rowOff>47625</xdr:rowOff>
    </xdr:to>
    <xdr:sp macro="" textlink="">
      <xdr:nvSpPr>
        <xdr:cNvPr id="5" name="모서리가 둥근 직사각형 4"/>
        <xdr:cNvSpPr/>
      </xdr:nvSpPr>
      <xdr:spPr>
        <a:xfrm>
          <a:off x="2771774" y="2971800"/>
          <a:ext cx="3133725" cy="638175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요청된 </a:t>
          </a:r>
          <a:r>
            <a:rPr lang="en-US" altLang="ko-KR" sz="1100"/>
            <a:t>id</a:t>
          </a:r>
          <a:r>
            <a:rPr lang="en-US" altLang="ko-KR" sz="1100" baseline="0"/>
            <a:t> </a:t>
          </a:r>
          <a:r>
            <a:rPr lang="ko-KR" altLang="en-US" sz="1100" baseline="0"/>
            <a:t>의 </a:t>
          </a:r>
          <a:r>
            <a:rPr lang="en-US" altLang="ko-KR" sz="1100" baseline="0"/>
            <a:t>tmaster </a:t>
          </a:r>
          <a:r>
            <a:rPr lang="ko-KR" altLang="en-US" sz="1100" baseline="0"/>
            <a:t>정보를 읽어 </a:t>
          </a:r>
          <a:r>
            <a:rPr lang="ko-KR" altLang="en-US" sz="1100"/>
            <a:t>해당조건에 맞게  </a:t>
          </a:r>
          <a:r>
            <a:rPr lang="en-US" altLang="ko-KR" sz="1100"/>
            <a:t>aqt_sendS</a:t>
          </a:r>
          <a:r>
            <a:rPr lang="en-US" altLang="ko-KR" sz="1100" baseline="0"/>
            <a:t> </a:t>
          </a:r>
          <a:r>
            <a:rPr lang="ko-KR" altLang="en-US" sz="1100" baseline="0"/>
            <a:t>프로그램 실행</a:t>
          </a:r>
          <a:endParaRPr lang="ko-KR" altLang="en-US" sz="1100"/>
        </a:p>
      </xdr:txBody>
    </xdr:sp>
    <xdr:clientData/>
  </xdr:twoCellAnchor>
  <xdr:twoCellAnchor>
    <xdr:from>
      <xdr:col>1</xdr:col>
      <xdr:colOff>381000</xdr:colOff>
      <xdr:row>20</xdr:row>
      <xdr:rowOff>0</xdr:rowOff>
    </xdr:from>
    <xdr:to>
      <xdr:col>3</xdr:col>
      <xdr:colOff>247650</xdr:colOff>
      <xdr:row>22</xdr:row>
      <xdr:rowOff>85725</xdr:rowOff>
    </xdr:to>
    <xdr:sp macro="" textlink="">
      <xdr:nvSpPr>
        <xdr:cNvPr id="6" name="직사각형 5"/>
        <xdr:cNvSpPr/>
      </xdr:nvSpPr>
      <xdr:spPr>
        <a:xfrm>
          <a:off x="1066800" y="4191000"/>
          <a:ext cx="1238250" cy="50482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/>
            <a:t>3. </a:t>
          </a:r>
          <a:r>
            <a:rPr lang="ko-KR" altLang="en-US" sz="1100" b="1"/>
            <a:t>테스트 큐 등록</a:t>
          </a:r>
          <a:r>
            <a:rPr lang="en-US" altLang="ko-KR" sz="1100" b="1"/>
            <a:t> aqt_sendS</a:t>
          </a:r>
          <a:endParaRPr lang="ko-KR" altLang="en-US" sz="1100" b="1"/>
        </a:p>
      </xdr:txBody>
    </xdr:sp>
    <xdr:clientData/>
  </xdr:twoCellAnchor>
  <xdr:twoCellAnchor>
    <xdr:from>
      <xdr:col>1</xdr:col>
      <xdr:colOff>561975</xdr:colOff>
      <xdr:row>25</xdr:row>
      <xdr:rowOff>161925</xdr:rowOff>
    </xdr:from>
    <xdr:to>
      <xdr:col>3</xdr:col>
      <xdr:colOff>428625</xdr:colOff>
      <xdr:row>28</xdr:row>
      <xdr:rowOff>38100</xdr:rowOff>
    </xdr:to>
    <xdr:sp macro="" textlink="">
      <xdr:nvSpPr>
        <xdr:cNvPr id="7" name="직사각형 6"/>
        <xdr:cNvSpPr/>
      </xdr:nvSpPr>
      <xdr:spPr>
        <a:xfrm>
          <a:off x="1247775" y="5400675"/>
          <a:ext cx="1238250" cy="50482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/>
            <a:t>4. </a:t>
          </a:r>
          <a:r>
            <a:rPr lang="ko-KR" altLang="en-US" sz="1100" b="1"/>
            <a:t>전문송신</a:t>
          </a:r>
          <a:endParaRPr lang="en-US" altLang="ko-KR" sz="1100" b="1"/>
        </a:p>
        <a:p>
          <a:pPr algn="l"/>
          <a:r>
            <a:rPr lang="en-US" altLang="ko-KR" sz="1100" b="1"/>
            <a:t>aqt_sendM</a:t>
          </a:r>
          <a:endParaRPr lang="ko-KR" altLang="en-US" sz="1100" b="1"/>
        </a:p>
      </xdr:txBody>
    </xdr:sp>
    <xdr:clientData/>
  </xdr:twoCellAnchor>
  <xdr:twoCellAnchor>
    <xdr:from>
      <xdr:col>4</xdr:col>
      <xdr:colOff>495299</xdr:colOff>
      <xdr:row>18</xdr:row>
      <xdr:rowOff>200025</xdr:rowOff>
    </xdr:from>
    <xdr:to>
      <xdr:col>9</xdr:col>
      <xdr:colOff>200024</xdr:colOff>
      <xdr:row>23</xdr:row>
      <xdr:rowOff>85725</xdr:rowOff>
    </xdr:to>
    <xdr:sp macro="" textlink="">
      <xdr:nvSpPr>
        <xdr:cNvPr id="8" name="모서리가 둥근 직사각형 7"/>
        <xdr:cNvSpPr/>
      </xdr:nvSpPr>
      <xdr:spPr>
        <a:xfrm>
          <a:off x="3238499" y="3971925"/>
          <a:ext cx="3133725" cy="933450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작업큐를 만들고 작업수 만큼 </a:t>
          </a:r>
          <a:r>
            <a:rPr lang="en-US" altLang="ko-KR" sz="1100"/>
            <a:t>aqt_sendM </a:t>
          </a:r>
          <a:r>
            <a:rPr lang="ko-KR" altLang="en-US" sz="1100"/>
            <a:t>자식프로세스를 생성한다</a:t>
          </a:r>
          <a:r>
            <a:rPr lang="en-US" altLang="ko-KR" sz="1100"/>
            <a:t>.</a:t>
          </a:r>
        </a:p>
        <a:p>
          <a:pPr algn="l"/>
          <a:r>
            <a:rPr lang="ko-KR" altLang="en-US" sz="1100"/>
            <a:t>작업큐에  테스트전문</a:t>
          </a:r>
          <a:r>
            <a:rPr lang="en-US" altLang="ko-KR" sz="1100"/>
            <a:t>id</a:t>
          </a:r>
          <a:r>
            <a:rPr lang="ko-KR" altLang="en-US" sz="1100"/>
            <a:t>를 등록한다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5</xdr:col>
      <xdr:colOff>9525</xdr:colOff>
      <xdr:row>24</xdr:row>
      <xdr:rowOff>171450</xdr:rowOff>
    </xdr:from>
    <xdr:to>
      <xdr:col>9</xdr:col>
      <xdr:colOff>400050</xdr:colOff>
      <xdr:row>29</xdr:row>
      <xdr:rowOff>57150</xdr:rowOff>
    </xdr:to>
    <xdr:sp macro="" textlink="">
      <xdr:nvSpPr>
        <xdr:cNvPr id="9" name="모서리가 둥근 직사각형 8"/>
        <xdr:cNvSpPr/>
      </xdr:nvSpPr>
      <xdr:spPr>
        <a:xfrm>
          <a:off x="3438525" y="5200650"/>
          <a:ext cx="3133725" cy="933450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작업큐에서 </a:t>
          </a:r>
          <a:r>
            <a:rPr lang="en-US" altLang="ko-KR" sz="1100"/>
            <a:t>id</a:t>
          </a:r>
          <a:r>
            <a:rPr lang="ko-KR" altLang="en-US" sz="1100"/>
            <a:t>를 일고 해당 전문을 </a:t>
          </a:r>
          <a:r>
            <a:rPr lang="en-US" altLang="ko-KR" sz="1100"/>
            <a:t>tpcall </a:t>
          </a:r>
          <a:r>
            <a:rPr lang="ko-KR" altLang="en-US" sz="1100"/>
            <a:t>한후 결과를 저장한다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7</xdr:col>
      <xdr:colOff>552451</xdr:colOff>
      <xdr:row>0</xdr:row>
      <xdr:rowOff>95250</xdr:rowOff>
    </xdr:from>
    <xdr:to>
      <xdr:col>10</xdr:col>
      <xdr:colOff>400051</xdr:colOff>
      <xdr:row>3</xdr:row>
      <xdr:rowOff>95250</xdr:rowOff>
    </xdr:to>
    <xdr:sp macro="" textlink="">
      <xdr:nvSpPr>
        <xdr:cNvPr id="11" name="직사각형 10"/>
        <xdr:cNvSpPr/>
      </xdr:nvSpPr>
      <xdr:spPr>
        <a:xfrm>
          <a:off x="5353051" y="95250"/>
          <a:ext cx="1905000" cy="62865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1"/>
            <a:t>데몬프로그램  시작</a:t>
          </a:r>
          <a:endParaRPr lang="en-US" altLang="ko-KR" sz="1200" b="1"/>
        </a:p>
        <a:p>
          <a:pPr algn="l"/>
          <a:r>
            <a:rPr lang="en-US" altLang="ko-KR" sz="1200" b="1"/>
            <a:t>aqt_deamon.sh</a:t>
          </a:r>
          <a:endParaRPr lang="ko-KR" altLang="en-US" sz="1200" b="1"/>
        </a:p>
      </xdr:txBody>
    </xdr:sp>
    <xdr:clientData/>
  </xdr:twoCellAnchor>
  <xdr:twoCellAnchor>
    <xdr:from>
      <xdr:col>11</xdr:col>
      <xdr:colOff>552450</xdr:colOff>
      <xdr:row>10</xdr:row>
      <xdr:rowOff>190500</xdr:rowOff>
    </xdr:from>
    <xdr:to>
      <xdr:col>13</xdr:col>
      <xdr:colOff>419100</xdr:colOff>
      <xdr:row>13</xdr:row>
      <xdr:rowOff>66675</xdr:rowOff>
    </xdr:to>
    <xdr:sp macro="" textlink="">
      <xdr:nvSpPr>
        <xdr:cNvPr id="12" name="직사각형 11"/>
        <xdr:cNvSpPr/>
      </xdr:nvSpPr>
      <xdr:spPr>
        <a:xfrm>
          <a:off x="8096250" y="2286000"/>
          <a:ext cx="1238250" cy="50482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/>
            <a:t>1. </a:t>
          </a:r>
          <a:r>
            <a:rPr lang="ko-KR" altLang="en-US" sz="1100" b="1"/>
            <a:t>건별등록감시</a:t>
          </a:r>
          <a:endParaRPr lang="en-US" altLang="ko-KR" sz="1100" b="1"/>
        </a:p>
        <a:p>
          <a:pPr algn="l"/>
          <a:r>
            <a:rPr lang="en-US" altLang="ko-KR" sz="1100" b="1"/>
            <a:t>aqt_request</a:t>
          </a:r>
          <a:endParaRPr lang="ko-KR" altLang="en-US" sz="1100" b="1"/>
        </a:p>
      </xdr:txBody>
    </xdr:sp>
    <xdr:clientData/>
  </xdr:twoCellAnchor>
  <xdr:twoCellAnchor>
    <xdr:from>
      <xdr:col>14</xdr:col>
      <xdr:colOff>76200</xdr:colOff>
      <xdr:row>8</xdr:row>
      <xdr:rowOff>171450</xdr:rowOff>
    </xdr:from>
    <xdr:to>
      <xdr:col>19</xdr:col>
      <xdr:colOff>304800</xdr:colOff>
      <xdr:row>14</xdr:row>
      <xdr:rowOff>190500</xdr:rowOff>
    </xdr:to>
    <xdr:sp macro="" textlink="">
      <xdr:nvSpPr>
        <xdr:cNvPr id="13" name="모서리가 둥근 직사각형 12"/>
        <xdr:cNvSpPr/>
      </xdr:nvSpPr>
      <xdr:spPr>
        <a:xfrm>
          <a:off x="9677400" y="1847850"/>
          <a:ext cx="3657600" cy="1276350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작업큐 생성</a:t>
          </a:r>
          <a:r>
            <a:rPr lang="en-US" altLang="ko-KR" sz="1100"/>
            <a:t>, aqt_reqsub </a:t>
          </a:r>
          <a:r>
            <a:rPr lang="ko-KR" altLang="en-US" sz="1100"/>
            <a:t>자식프로세스 생성</a:t>
          </a:r>
          <a:endParaRPr lang="en-US" altLang="ko-KR" sz="1100"/>
        </a:p>
        <a:p>
          <a:pPr algn="l"/>
          <a:r>
            <a:rPr lang="ko-KR" altLang="en-US" sz="1100"/>
            <a:t>재전송요청 전문</a:t>
          </a:r>
          <a:r>
            <a:rPr lang="en-US" altLang="ko-KR" sz="1100"/>
            <a:t>id </a:t>
          </a:r>
          <a:r>
            <a:rPr lang="ko-KR" altLang="en-US" sz="1100"/>
            <a:t>작업큐에 등록</a:t>
          </a:r>
          <a:r>
            <a:rPr lang="en-US" altLang="ko-KR" sz="1100"/>
            <a:t/>
          </a:r>
          <a:br>
            <a:rPr lang="en-US" altLang="ko-KR" sz="1100"/>
          </a:br>
          <a:r>
            <a:rPr lang="en-US" altLang="ko-KR" sz="1100"/>
            <a:t>(**</a:t>
          </a:r>
          <a:r>
            <a:rPr lang="en-US" altLang="ko-KR" sz="1100" baseline="0"/>
            <a:t> aqt_reqsub </a:t>
          </a:r>
          <a:r>
            <a:rPr lang="ko-KR" altLang="en-US" sz="1100" baseline="0"/>
            <a:t>이 갯수는 기본값 </a:t>
          </a:r>
          <a:r>
            <a:rPr lang="en-US" altLang="ko-KR" sz="1100" baseline="0"/>
            <a:t>5,   </a:t>
          </a:r>
          <a:r>
            <a:rPr lang="ko-KR" altLang="en-US" sz="1100" baseline="0"/>
            <a:t>조정해야할경우 </a:t>
          </a:r>
          <a:r>
            <a:rPr lang="en-US" altLang="ko-KR" sz="1100" baseline="0"/>
            <a:t>aqt_deamon.sh </a:t>
          </a:r>
          <a:r>
            <a:rPr lang="ko-KR" altLang="en-US" sz="1100" baseline="0"/>
            <a:t>에서 </a:t>
          </a:r>
          <a:r>
            <a:rPr lang="en-US" altLang="ko-KR" sz="1100" baseline="0"/>
            <a:t>"aqt_request  </a:t>
          </a:r>
          <a:r>
            <a:rPr lang="ko-KR" altLang="en-US" sz="1100" baseline="0"/>
            <a:t>숫자</a:t>
          </a:r>
          <a:r>
            <a:rPr lang="en-US" altLang="ko-KR" sz="1100" baseline="0"/>
            <a:t>" </a:t>
          </a:r>
          <a:r>
            <a:rPr lang="ko-KR" altLang="en-US" sz="1100" baseline="0"/>
            <a:t> 형식으로 실행</a:t>
          </a:r>
          <a:endParaRPr lang="en-US" altLang="ko-KR" sz="1100"/>
        </a:p>
      </xdr:txBody>
    </xdr:sp>
    <xdr:clientData/>
  </xdr:twoCellAnchor>
  <xdr:twoCellAnchor>
    <xdr:from>
      <xdr:col>12</xdr:col>
      <xdr:colOff>219075</xdr:colOff>
      <xdr:row>17</xdr:row>
      <xdr:rowOff>142875</xdr:rowOff>
    </xdr:from>
    <xdr:to>
      <xdr:col>14</xdr:col>
      <xdr:colOff>85725</xdr:colOff>
      <xdr:row>20</xdr:row>
      <xdr:rowOff>19050</xdr:rowOff>
    </xdr:to>
    <xdr:sp macro="" textlink="">
      <xdr:nvSpPr>
        <xdr:cNvPr id="14" name="직사각형 13"/>
        <xdr:cNvSpPr/>
      </xdr:nvSpPr>
      <xdr:spPr>
        <a:xfrm>
          <a:off x="8448675" y="3705225"/>
          <a:ext cx="1238250" cy="50482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 baseline="0"/>
            <a:t> 2. </a:t>
          </a:r>
          <a:r>
            <a:rPr lang="ko-KR" altLang="en-US" sz="1100" b="1" baseline="0"/>
            <a:t>전문송신</a:t>
          </a:r>
          <a:endParaRPr lang="en-US" altLang="ko-KR" sz="1100" b="1"/>
        </a:p>
        <a:p>
          <a:pPr algn="l"/>
          <a:r>
            <a:rPr lang="en-US" altLang="ko-KR" sz="1100" b="1"/>
            <a:t>aqt_reqsub</a:t>
          </a:r>
          <a:endParaRPr lang="ko-KR" altLang="en-US" sz="1100" b="1"/>
        </a:p>
      </xdr:txBody>
    </xdr:sp>
    <xdr:clientData/>
  </xdr:twoCellAnchor>
  <xdr:twoCellAnchor>
    <xdr:from>
      <xdr:col>15</xdr:col>
      <xdr:colOff>247650</xdr:colOff>
      <xdr:row>16</xdr:row>
      <xdr:rowOff>161925</xdr:rowOff>
    </xdr:from>
    <xdr:to>
      <xdr:col>19</xdr:col>
      <xdr:colOff>638175</xdr:colOff>
      <xdr:row>21</xdr:row>
      <xdr:rowOff>47625</xdr:rowOff>
    </xdr:to>
    <xdr:sp macro="" textlink="">
      <xdr:nvSpPr>
        <xdr:cNvPr id="15" name="모서리가 둥근 직사각형 14"/>
        <xdr:cNvSpPr/>
      </xdr:nvSpPr>
      <xdr:spPr>
        <a:xfrm>
          <a:off x="10534650" y="3514725"/>
          <a:ext cx="3133725" cy="933450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작업큐에서 </a:t>
          </a:r>
          <a:r>
            <a:rPr lang="en-US" altLang="ko-KR" sz="1100"/>
            <a:t>id</a:t>
          </a:r>
          <a:r>
            <a:rPr lang="ko-KR" altLang="en-US" sz="1100"/>
            <a:t>를 읽어 해당 전문을 </a:t>
          </a:r>
          <a:r>
            <a:rPr lang="en-US" altLang="ko-KR" sz="1100"/>
            <a:t>tpcall </a:t>
          </a:r>
          <a:r>
            <a:rPr lang="ko-KR" altLang="en-US" sz="1100"/>
            <a:t>한후 결과를 저장한다</a:t>
          </a:r>
          <a:r>
            <a:rPr lang="en-US" altLang="ko-KR" sz="1100"/>
            <a:t>.</a:t>
          </a:r>
        </a:p>
        <a:p>
          <a:pPr algn="l"/>
          <a:r>
            <a:rPr lang="en-US" altLang="ko-KR" sz="1100"/>
            <a:t>aqt_sendM </a:t>
          </a:r>
          <a:r>
            <a:rPr lang="ko-KR" altLang="en-US" sz="1100"/>
            <a:t>과 다른점은 매건 </a:t>
          </a:r>
          <a:r>
            <a:rPr lang="en-US" altLang="ko-KR" sz="1100" baseline="0"/>
            <a:t> tpstart </a:t>
          </a:r>
          <a:r>
            <a:rPr lang="ko-KR" altLang="en-US" sz="1100" baseline="0"/>
            <a:t>함</a:t>
          </a:r>
          <a:endParaRPr lang="ko-KR" altLang="en-US" sz="1100"/>
        </a:p>
      </xdr:txBody>
    </xdr:sp>
    <xdr:clientData/>
  </xdr:twoCellAnchor>
  <xdr:twoCellAnchor>
    <xdr:from>
      <xdr:col>5</xdr:col>
      <xdr:colOff>185738</xdr:colOff>
      <xdr:row>3</xdr:row>
      <xdr:rowOff>95250</xdr:rowOff>
    </xdr:from>
    <xdr:to>
      <xdr:col>9</xdr:col>
      <xdr:colOff>133351</xdr:colOff>
      <xdr:row>7</xdr:row>
      <xdr:rowOff>38100</xdr:rowOff>
    </xdr:to>
    <xdr:cxnSp macro="">
      <xdr:nvCxnSpPr>
        <xdr:cNvPr id="19" name="직선 화살표 연결선 18"/>
        <xdr:cNvCxnSpPr>
          <a:stCxn id="11" idx="2"/>
          <a:endCxn id="16" idx="0"/>
        </xdr:cNvCxnSpPr>
      </xdr:nvCxnSpPr>
      <xdr:spPr>
        <a:xfrm flipH="1">
          <a:off x="3614738" y="723900"/>
          <a:ext cx="2690813" cy="781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133351</xdr:colOff>
      <xdr:row>3</xdr:row>
      <xdr:rowOff>95250</xdr:rowOff>
    </xdr:from>
    <xdr:to>
      <xdr:col>14</xdr:col>
      <xdr:colOff>171450</xdr:colOff>
      <xdr:row>6</xdr:row>
      <xdr:rowOff>142875</xdr:rowOff>
    </xdr:to>
    <xdr:cxnSp macro="">
      <xdr:nvCxnSpPr>
        <xdr:cNvPr id="21" name="직선 화살표 연결선 20"/>
        <xdr:cNvCxnSpPr>
          <a:stCxn id="11" idx="2"/>
        </xdr:cNvCxnSpPr>
      </xdr:nvCxnSpPr>
      <xdr:spPr>
        <a:xfrm>
          <a:off x="6305551" y="723900"/>
          <a:ext cx="3467099" cy="676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1</xdr:row>
      <xdr:rowOff>1</xdr:rowOff>
    </xdr:from>
    <xdr:to>
      <xdr:col>14</xdr:col>
      <xdr:colOff>47626</xdr:colOff>
      <xdr:row>3</xdr:row>
      <xdr:rowOff>95251</xdr:rowOff>
    </xdr:to>
    <xdr:sp macro="" textlink="">
      <xdr:nvSpPr>
        <xdr:cNvPr id="22" name="모서리가 둥근 직사각형 21"/>
        <xdr:cNvSpPr/>
      </xdr:nvSpPr>
      <xdr:spPr>
        <a:xfrm>
          <a:off x="7277100" y="209551"/>
          <a:ext cx="2371726" cy="514350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aqt_execMst.sh,</a:t>
          </a:r>
          <a:r>
            <a:rPr lang="en-US" altLang="ko-KR" sz="1100" baseline="0"/>
            <a:t>  aqt_request </a:t>
          </a:r>
          <a:r>
            <a:rPr lang="ko-KR" altLang="en-US" sz="1100" baseline="0"/>
            <a:t>실행</a:t>
          </a:r>
          <a:endParaRPr lang="ko-KR" altLang="en-US" sz="1100"/>
        </a:p>
      </xdr:txBody>
    </xdr:sp>
    <xdr:clientData/>
  </xdr:twoCellAnchor>
  <xdr:twoCellAnchor>
    <xdr:from>
      <xdr:col>2</xdr:col>
      <xdr:colOff>671513</xdr:colOff>
      <xdr:row>10</xdr:row>
      <xdr:rowOff>204788</xdr:rowOff>
    </xdr:from>
    <xdr:to>
      <xdr:col>3</xdr:col>
      <xdr:colOff>571499</xdr:colOff>
      <xdr:row>11</xdr:row>
      <xdr:rowOff>4763</xdr:rowOff>
    </xdr:to>
    <xdr:cxnSp macro="">
      <xdr:nvCxnSpPr>
        <xdr:cNvPr id="24" name="직선 연결선 23"/>
        <xdr:cNvCxnSpPr>
          <a:stCxn id="2" idx="3"/>
          <a:endCxn id="3" idx="1"/>
        </xdr:cNvCxnSpPr>
      </xdr:nvCxnSpPr>
      <xdr:spPr>
        <a:xfrm>
          <a:off x="2043113" y="2300288"/>
          <a:ext cx="585786" cy="95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15</xdr:row>
      <xdr:rowOff>147638</xdr:rowOff>
    </xdr:from>
    <xdr:to>
      <xdr:col>4</xdr:col>
      <xdr:colOff>28574</xdr:colOff>
      <xdr:row>15</xdr:row>
      <xdr:rowOff>147638</xdr:rowOff>
    </xdr:to>
    <xdr:cxnSp macro="">
      <xdr:nvCxnSpPr>
        <xdr:cNvPr id="25" name="직선 연결선 24"/>
        <xdr:cNvCxnSpPr>
          <a:stCxn id="4" idx="3"/>
          <a:endCxn id="5" idx="1"/>
        </xdr:cNvCxnSpPr>
      </xdr:nvCxnSpPr>
      <xdr:spPr>
        <a:xfrm>
          <a:off x="2133600" y="3290888"/>
          <a:ext cx="638174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21</xdr:row>
      <xdr:rowOff>38100</xdr:rowOff>
    </xdr:from>
    <xdr:to>
      <xdr:col>4</xdr:col>
      <xdr:colOff>495299</xdr:colOff>
      <xdr:row>21</xdr:row>
      <xdr:rowOff>42863</xdr:rowOff>
    </xdr:to>
    <xdr:cxnSp macro="">
      <xdr:nvCxnSpPr>
        <xdr:cNvPr id="28" name="직선 연결선 27"/>
        <xdr:cNvCxnSpPr>
          <a:stCxn id="6" idx="3"/>
          <a:endCxn id="8" idx="1"/>
        </xdr:cNvCxnSpPr>
      </xdr:nvCxnSpPr>
      <xdr:spPr>
        <a:xfrm flipV="1">
          <a:off x="2305050" y="4438650"/>
          <a:ext cx="933449" cy="4763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26</xdr:row>
      <xdr:rowOff>204788</xdr:rowOff>
    </xdr:from>
    <xdr:to>
      <xdr:col>5</xdr:col>
      <xdr:colOff>9525</xdr:colOff>
      <xdr:row>27</xdr:row>
      <xdr:rowOff>9525</xdr:rowOff>
    </xdr:to>
    <xdr:cxnSp macro="">
      <xdr:nvCxnSpPr>
        <xdr:cNvPr id="31" name="직선 연결선 30"/>
        <xdr:cNvCxnSpPr>
          <a:stCxn id="7" idx="3"/>
          <a:endCxn id="9" idx="1"/>
        </xdr:cNvCxnSpPr>
      </xdr:nvCxnSpPr>
      <xdr:spPr>
        <a:xfrm>
          <a:off x="2486025" y="5653088"/>
          <a:ext cx="952500" cy="14287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419100</xdr:colOff>
      <xdr:row>11</xdr:row>
      <xdr:rowOff>180975</xdr:rowOff>
    </xdr:from>
    <xdr:to>
      <xdr:col>14</xdr:col>
      <xdr:colOff>76200</xdr:colOff>
      <xdr:row>12</xdr:row>
      <xdr:rowOff>23813</xdr:rowOff>
    </xdr:to>
    <xdr:cxnSp macro="">
      <xdr:nvCxnSpPr>
        <xdr:cNvPr id="36" name="직선 연결선 35"/>
        <xdr:cNvCxnSpPr>
          <a:stCxn id="12" idx="3"/>
          <a:endCxn id="13" idx="1"/>
        </xdr:cNvCxnSpPr>
      </xdr:nvCxnSpPr>
      <xdr:spPr>
        <a:xfrm flipV="1">
          <a:off x="9334500" y="2486025"/>
          <a:ext cx="342900" cy="52388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85725</xdr:colOff>
      <xdr:row>18</xdr:row>
      <xdr:rowOff>185738</xdr:rowOff>
    </xdr:from>
    <xdr:to>
      <xdr:col>15</xdr:col>
      <xdr:colOff>247650</xdr:colOff>
      <xdr:row>19</xdr:row>
      <xdr:rowOff>0</xdr:rowOff>
    </xdr:to>
    <xdr:cxnSp macro="">
      <xdr:nvCxnSpPr>
        <xdr:cNvPr id="39" name="직선 연결선 38"/>
        <xdr:cNvCxnSpPr>
          <a:stCxn id="14" idx="3"/>
          <a:endCxn id="15" idx="1"/>
        </xdr:cNvCxnSpPr>
      </xdr:nvCxnSpPr>
      <xdr:spPr>
        <a:xfrm>
          <a:off x="9686925" y="3957638"/>
          <a:ext cx="847725" cy="2381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676276</xdr:colOff>
      <xdr:row>12</xdr:row>
      <xdr:rowOff>38100</xdr:rowOff>
    </xdr:from>
    <xdr:to>
      <xdr:col>2</xdr:col>
      <xdr:colOff>142875</xdr:colOff>
      <xdr:row>14</xdr:row>
      <xdr:rowOff>104775</xdr:rowOff>
    </xdr:to>
    <xdr:cxnSp macro="">
      <xdr:nvCxnSpPr>
        <xdr:cNvPr id="45" name="직선 화살표 연결선 44"/>
        <xdr:cNvCxnSpPr>
          <a:stCxn id="2" idx="2"/>
          <a:endCxn id="4" idx="0"/>
        </xdr:cNvCxnSpPr>
      </xdr:nvCxnSpPr>
      <xdr:spPr>
        <a:xfrm>
          <a:off x="1362076" y="2552700"/>
          <a:ext cx="152399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16</xdr:row>
      <xdr:rowOff>190500</xdr:rowOff>
    </xdr:from>
    <xdr:to>
      <xdr:col>2</xdr:col>
      <xdr:colOff>314325</xdr:colOff>
      <xdr:row>20</xdr:row>
      <xdr:rowOff>0</xdr:rowOff>
    </xdr:to>
    <xdr:cxnSp macro="">
      <xdr:nvCxnSpPr>
        <xdr:cNvPr id="46" name="직선 화살표 연결선 45"/>
        <xdr:cNvCxnSpPr>
          <a:stCxn id="4" idx="2"/>
          <a:endCxn id="6" idx="0"/>
        </xdr:cNvCxnSpPr>
      </xdr:nvCxnSpPr>
      <xdr:spPr>
        <a:xfrm>
          <a:off x="1514475" y="3543300"/>
          <a:ext cx="171450" cy="6477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314325</xdr:colOff>
      <xdr:row>22</xdr:row>
      <xdr:rowOff>85725</xdr:rowOff>
    </xdr:from>
    <xdr:to>
      <xdr:col>2</xdr:col>
      <xdr:colOff>495300</xdr:colOff>
      <xdr:row>25</xdr:row>
      <xdr:rowOff>161925</xdr:rowOff>
    </xdr:to>
    <xdr:cxnSp macro="">
      <xdr:nvCxnSpPr>
        <xdr:cNvPr id="49" name="직선 화살표 연결선 48"/>
        <xdr:cNvCxnSpPr>
          <a:stCxn id="6" idx="2"/>
          <a:endCxn id="7" idx="0"/>
        </xdr:cNvCxnSpPr>
      </xdr:nvCxnSpPr>
      <xdr:spPr>
        <a:xfrm>
          <a:off x="1685925" y="4695825"/>
          <a:ext cx="180975" cy="7048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942975</xdr:colOff>
      <xdr:row>0</xdr:row>
      <xdr:rowOff>914399</xdr:rowOff>
    </xdr:from>
    <xdr:ext cx="4857750" cy="1269065"/>
    <xdr:sp macro="" textlink="">
      <xdr:nvSpPr>
        <xdr:cNvPr id="2" name="TextBox 1"/>
        <xdr:cNvSpPr txBox="1"/>
      </xdr:nvSpPr>
      <xdr:spPr>
        <a:xfrm>
          <a:off x="1628775" y="914399"/>
          <a:ext cx="4857750" cy="12690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/>
            <a:t>웹소켓 요청</a:t>
          </a:r>
          <a:endParaRPr lang="en-US" altLang="ko-KR" sz="1100"/>
        </a:p>
        <a:p>
          <a:r>
            <a:rPr lang="en-US" altLang="ko-KR" sz="1100"/>
            <a:t>{</a:t>
          </a:r>
        </a:p>
        <a:p>
          <a:r>
            <a:rPr lang="en-US" altLang="ko-KR" sz="1100" baseline="0"/>
            <a:t>   type: '1' : dashboard , '2': 'jobing', '8':</a:t>
          </a:r>
          <a:r>
            <a:rPr lang="ko-KR" altLang="en-US" sz="1100" baseline="0"/>
            <a:t>모의서버 시작 </a:t>
          </a:r>
          <a:r>
            <a:rPr lang="en-US" altLang="ko-KR" sz="1100" baseline="0"/>
            <a:t> '9': </a:t>
          </a:r>
          <a:r>
            <a:rPr lang="ko-KR" altLang="en-US" sz="1100" baseline="0"/>
            <a:t>모의서버 중지</a:t>
          </a:r>
          <a:endParaRPr lang="en-US" altLang="ko-KR" sz="1100" baseline="0"/>
        </a:p>
        <a:p>
          <a:r>
            <a:rPr lang="en-US" altLang="ko-KR" sz="1100" baseline="0"/>
            <a:t>  payload : { }</a:t>
          </a:r>
        </a:p>
        <a:p>
          <a:r>
            <a:rPr lang="en-US" altLang="ko-KR" sz="1100" baseline="0"/>
            <a:t>   reqdate:</a:t>
          </a:r>
        </a:p>
        <a:p>
          <a:r>
            <a:rPr lang="en-US" altLang="ko-KR" sz="1100" baseline="0"/>
            <a:t>}</a:t>
          </a:r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4" workbookViewId="0">
      <selection activeCell="J24" sqref="J24"/>
    </sheetView>
  </sheetViews>
  <sheetFormatPr defaultRowHeight="13.5" x14ac:dyDescent="0.3"/>
  <cols>
    <col min="1" max="1" width="9" style="21"/>
    <col min="2" max="2" width="42.25" style="21" customWidth="1"/>
    <col min="3" max="16384" width="9" style="21"/>
  </cols>
  <sheetData>
    <row r="1" spans="1:15" ht="16.5" x14ac:dyDescent="0.3">
      <c r="A1" s="28" t="s">
        <v>109</v>
      </c>
      <c r="B1" s="28"/>
      <c r="C1" s="28"/>
      <c r="D1" s="28"/>
      <c r="E1" s="28"/>
      <c r="F1" s="28"/>
      <c r="G1" s="28"/>
      <c r="H1" s="28"/>
      <c r="I1" s="28"/>
      <c r="J1" s="28"/>
      <c r="K1" s="20"/>
      <c r="L1" s="20"/>
      <c r="M1" s="20"/>
      <c r="N1" s="20"/>
      <c r="O1" s="20"/>
    </row>
    <row r="2" spans="1:15" ht="16.5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0"/>
      <c r="L2" s="20"/>
      <c r="M2" s="20"/>
      <c r="N2" s="20"/>
      <c r="O2" s="20"/>
    </row>
    <row r="3" spans="1:15" ht="16.5" x14ac:dyDescent="0.3">
      <c r="A3" s="28" t="s">
        <v>110</v>
      </c>
      <c r="B3" s="28"/>
      <c r="C3" s="28"/>
      <c r="D3" s="28"/>
      <c r="E3" s="28"/>
      <c r="F3" s="28"/>
      <c r="G3" s="28"/>
      <c r="H3" s="28"/>
      <c r="I3" s="28"/>
      <c r="J3" s="28"/>
      <c r="K3" s="20"/>
      <c r="L3" s="20"/>
      <c r="M3" s="20"/>
      <c r="N3" s="20"/>
      <c r="O3" s="20"/>
    </row>
    <row r="4" spans="1:15" ht="16.5" x14ac:dyDescent="0.3">
      <c r="A4" s="28"/>
      <c r="B4" s="28" t="s">
        <v>111</v>
      </c>
      <c r="C4" s="28"/>
      <c r="D4" s="28"/>
      <c r="E4" s="28"/>
      <c r="F4" s="28"/>
      <c r="G4" s="28"/>
      <c r="H4" s="28"/>
      <c r="I4" s="28"/>
      <c r="J4" s="28"/>
      <c r="K4" s="20"/>
      <c r="L4" s="20"/>
      <c r="M4" s="20"/>
      <c r="N4" s="20"/>
      <c r="O4" s="20"/>
    </row>
    <row r="5" spans="1:15" ht="16.5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0"/>
      <c r="L5" s="20"/>
      <c r="M5" s="20"/>
      <c r="N5" s="20"/>
      <c r="O5" s="20"/>
    </row>
    <row r="6" spans="1:15" ht="16.5" x14ac:dyDescent="0.3">
      <c r="A6" s="28" t="s">
        <v>361</v>
      </c>
      <c r="B6" s="28"/>
      <c r="C6" s="28"/>
      <c r="D6" s="28"/>
      <c r="E6" s="28"/>
      <c r="F6" s="28"/>
      <c r="G6" s="28"/>
      <c r="H6" s="28"/>
      <c r="I6" s="28"/>
      <c r="J6" s="28"/>
      <c r="K6" s="20"/>
      <c r="L6" s="20"/>
      <c r="M6" s="20"/>
      <c r="N6" s="20"/>
      <c r="O6" s="20"/>
    </row>
    <row r="7" spans="1:15" ht="33" x14ac:dyDescent="0.3">
      <c r="A7" s="28"/>
      <c r="B7" s="29" t="s">
        <v>116</v>
      </c>
      <c r="C7" s="28"/>
      <c r="D7" s="28"/>
      <c r="E7" s="28"/>
      <c r="F7" s="28"/>
      <c r="G7" s="28"/>
      <c r="H7" s="28"/>
      <c r="I7" s="28"/>
      <c r="J7" s="28"/>
      <c r="K7" s="20"/>
      <c r="L7" s="20"/>
      <c r="M7" s="20"/>
      <c r="N7" s="20"/>
      <c r="O7" s="20"/>
    </row>
    <row r="8" spans="1:15" ht="16.5" x14ac:dyDescent="0.3">
      <c r="A8" s="28"/>
      <c r="B8" s="28"/>
      <c r="C8" s="28"/>
      <c r="D8" s="28"/>
      <c r="E8" s="28"/>
      <c r="F8" s="28"/>
      <c r="G8" s="28"/>
      <c r="H8" s="28"/>
      <c r="I8" s="28"/>
      <c r="J8" s="28"/>
      <c r="K8" s="20"/>
      <c r="L8" s="20"/>
      <c r="M8" s="20"/>
      <c r="N8" s="20"/>
      <c r="O8" s="20"/>
    </row>
    <row r="9" spans="1:15" ht="16.5" x14ac:dyDescent="0.3">
      <c r="A9" s="28" t="s">
        <v>117</v>
      </c>
      <c r="B9" s="28"/>
      <c r="C9" s="28"/>
      <c r="D9" s="28"/>
      <c r="E9" s="28"/>
      <c r="F9" s="28"/>
      <c r="G9" s="28"/>
      <c r="H9" s="28"/>
      <c r="I9" s="28"/>
      <c r="J9" s="28"/>
      <c r="K9" s="20"/>
      <c r="L9" s="20"/>
      <c r="M9" s="20"/>
      <c r="N9" s="20"/>
      <c r="O9" s="20"/>
    </row>
    <row r="10" spans="1:15" ht="16.5" x14ac:dyDescent="0.3">
      <c r="A10" s="28"/>
      <c r="B10" s="28" t="s">
        <v>106</v>
      </c>
      <c r="C10" s="28" t="s">
        <v>330</v>
      </c>
      <c r="D10" s="28"/>
      <c r="E10" s="28"/>
      <c r="F10" s="28"/>
      <c r="G10" s="28"/>
      <c r="H10" s="28"/>
      <c r="I10" s="28"/>
      <c r="J10" s="28"/>
      <c r="K10" s="20"/>
      <c r="L10" s="20"/>
      <c r="M10" s="20"/>
      <c r="N10" s="20"/>
      <c r="O10" s="20"/>
    </row>
    <row r="11" spans="1:15" ht="16.5" x14ac:dyDescent="0.3">
      <c r="A11" s="28"/>
      <c r="B11" s="28" t="s">
        <v>107</v>
      </c>
      <c r="C11" s="28" t="s">
        <v>331</v>
      </c>
      <c r="D11" s="28"/>
      <c r="E11" s="28"/>
      <c r="F11" s="28"/>
      <c r="G11" s="28"/>
      <c r="H11" s="28"/>
      <c r="I11" s="28"/>
      <c r="J11" s="28"/>
      <c r="K11" s="20"/>
      <c r="L11" s="20"/>
      <c r="M11" s="20"/>
      <c r="N11" s="20"/>
      <c r="O11" s="20"/>
    </row>
    <row r="12" spans="1:15" ht="16.5" x14ac:dyDescent="0.3">
      <c r="A12" s="28"/>
      <c r="B12" s="28" t="s">
        <v>108</v>
      </c>
      <c r="C12" s="28" t="s">
        <v>332</v>
      </c>
      <c r="D12" s="28"/>
      <c r="E12" s="28"/>
      <c r="F12" s="28"/>
      <c r="G12" s="28"/>
      <c r="H12" s="28"/>
      <c r="I12" s="28"/>
      <c r="J12" s="28"/>
      <c r="K12" s="20"/>
      <c r="L12" s="20"/>
      <c r="M12" s="20"/>
      <c r="N12" s="20"/>
      <c r="O12" s="20"/>
    </row>
    <row r="13" spans="1:15" ht="16.5" x14ac:dyDescent="0.3">
      <c r="A13" s="28"/>
      <c r="B13" s="28" t="s">
        <v>357</v>
      </c>
      <c r="C13" s="28"/>
      <c r="D13" s="28"/>
      <c r="E13" s="28"/>
      <c r="F13" s="28"/>
      <c r="G13" s="28"/>
      <c r="H13" s="28"/>
      <c r="I13" s="28"/>
      <c r="J13" s="28"/>
      <c r="K13" s="20"/>
      <c r="L13" s="20"/>
      <c r="M13" s="20"/>
      <c r="N13" s="20"/>
      <c r="O13" s="20"/>
    </row>
    <row r="14" spans="1:15" ht="16.5" x14ac:dyDescent="0.3">
      <c r="A14" s="28" t="s">
        <v>118</v>
      </c>
      <c r="B14" s="28"/>
      <c r="C14" s="28"/>
      <c r="D14" s="28"/>
      <c r="E14" s="28"/>
      <c r="F14" s="28"/>
      <c r="G14" s="28"/>
      <c r="H14" s="28"/>
      <c r="I14" s="28"/>
      <c r="J14" s="28"/>
      <c r="K14" s="20"/>
      <c r="L14" s="20"/>
      <c r="M14" s="20"/>
      <c r="N14" s="20"/>
      <c r="O14" s="20"/>
    </row>
    <row r="15" spans="1:15" ht="16.5" x14ac:dyDescent="0.3">
      <c r="A15" s="28"/>
      <c r="B15" s="28" t="s">
        <v>119</v>
      </c>
      <c r="C15" s="28"/>
      <c r="D15" s="28"/>
      <c r="E15" s="28"/>
      <c r="F15" s="28"/>
      <c r="G15" s="28"/>
      <c r="H15" s="28"/>
      <c r="I15" s="28"/>
      <c r="J15" s="28"/>
      <c r="K15" s="20"/>
      <c r="L15" s="20"/>
      <c r="M15" s="20"/>
      <c r="N15" s="20"/>
      <c r="O15" s="20"/>
    </row>
    <row r="16" spans="1:15" ht="16.5" x14ac:dyDescent="0.3">
      <c r="A16" s="28"/>
      <c r="B16" s="30" t="s">
        <v>120</v>
      </c>
      <c r="C16" s="28"/>
      <c r="D16" s="28"/>
      <c r="E16" s="28"/>
      <c r="F16" s="28"/>
      <c r="G16" s="28"/>
      <c r="H16" s="28"/>
      <c r="I16" s="28"/>
      <c r="J16" s="28"/>
      <c r="K16" s="20"/>
      <c r="L16" s="20"/>
      <c r="M16" s="20"/>
      <c r="N16" s="20"/>
      <c r="O16" s="20"/>
    </row>
    <row r="17" spans="1:15" ht="16.5" x14ac:dyDescent="0.3">
      <c r="A17" s="28"/>
      <c r="B17" s="28" t="s">
        <v>121</v>
      </c>
      <c r="C17" s="28"/>
      <c r="D17" s="28"/>
      <c r="E17" s="28"/>
      <c r="F17" s="28"/>
      <c r="G17" s="28"/>
      <c r="H17" s="28"/>
      <c r="I17" s="28"/>
      <c r="J17" s="28"/>
      <c r="K17" s="20"/>
      <c r="L17" s="20"/>
      <c r="M17" s="20"/>
      <c r="N17" s="20"/>
      <c r="O17" s="20"/>
    </row>
    <row r="18" spans="1:15" ht="16.5" x14ac:dyDescent="0.3">
      <c r="A18" s="28"/>
      <c r="B18" s="28" t="s">
        <v>122</v>
      </c>
      <c r="C18" s="28"/>
      <c r="D18" s="28"/>
      <c r="E18" s="28"/>
      <c r="F18" s="28"/>
      <c r="G18" s="28"/>
      <c r="H18" s="28"/>
      <c r="I18" s="28"/>
      <c r="J18" s="28"/>
      <c r="K18" s="20"/>
      <c r="L18" s="20"/>
      <c r="M18" s="20"/>
      <c r="N18" s="20"/>
      <c r="O18" s="20"/>
    </row>
    <row r="19" spans="1:15" ht="16.5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0"/>
      <c r="L19" s="20"/>
      <c r="M19" s="20"/>
      <c r="N19" s="20"/>
      <c r="O19" s="20"/>
    </row>
    <row r="20" spans="1:15" ht="16.5" x14ac:dyDescent="0.3">
      <c r="A20" s="28" t="s">
        <v>123</v>
      </c>
      <c r="B20" s="28"/>
      <c r="C20" s="28"/>
      <c r="D20" s="28"/>
      <c r="E20" s="28"/>
      <c r="F20" s="28"/>
      <c r="G20" s="28"/>
      <c r="H20" s="28"/>
      <c r="I20" s="28"/>
      <c r="J20" s="28"/>
      <c r="K20" s="20"/>
      <c r="L20" s="20"/>
      <c r="M20" s="20"/>
      <c r="N20" s="20"/>
      <c r="O20" s="20"/>
    </row>
    <row r="21" spans="1:15" ht="16.5" x14ac:dyDescent="0.3">
      <c r="A21" s="28"/>
      <c r="B21" s="28" t="s">
        <v>124</v>
      </c>
      <c r="C21" s="28"/>
      <c r="D21" s="28"/>
      <c r="E21" s="28"/>
      <c r="F21" s="28"/>
      <c r="G21" s="28"/>
      <c r="H21" s="28"/>
      <c r="I21" s="28"/>
      <c r="J21" s="28"/>
      <c r="K21" s="20"/>
      <c r="L21" s="20"/>
      <c r="M21" s="20"/>
      <c r="N21" s="20"/>
      <c r="O21" s="20"/>
    </row>
    <row r="22" spans="1:15" ht="16.5" x14ac:dyDescent="0.3">
      <c r="A22" s="28"/>
      <c r="B22" s="28" t="s">
        <v>125</v>
      </c>
      <c r="C22" s="28"/>
      <c r="D22" s="28"/>
      <c r="E22" s="28"/>
      <c r="F22" s="28"/>
      <c r="G22" s="28"/>
      <c r="H22" s="28"/>
      <c r="I22" s="28"/>
      <c r="J22" s="28"/>
      <c r="K22" s="20"/>
      <c r="L22" s="20"/>
      <c r="M22" s="20"/>
      <c r="N22" s="20"/>
      <c r="O22" s="20"/>
    </row>
    <row r="23" spans="1:15" ht="16.5" x14ac:dyDescent="0.3">
      <c r="A23" s="28"/>
      <c r="B23" s="28" t="s">
        <v>130</v>
      </c>
      <c r="C23" s="31"/>
      <c r="D23" s="28"/>
      <c r="E23" s="28"/>
      <c r="F23" s="28"/>
      <c r="G23" s="28"/>
      <c r="H23" s="28"/>
      <c r="I23" s="28"/>
      <c r="J23" s="28"/>
      <c r="K23" s="20"/>
      <c r="L23" s="20"/>
      <c r="M23" s="20"/>
      <c r="N23" s="20"/>
      <c r="O23" s="20"/>
    </row>
    <row r="24" spans="1:15" ht="16.5" x14ac:dyDescent="0.3">
      <c r="A24" s="28"/>
      <c r="B24" s="28"/>
      <c r="C24" s="31" t="s">
        <v>349</v>
      </c>
      <c r="D24" s="28"/>
      <c r="E24" s="28"/>
      <c r="F24" s="28"/>
      <c r="G24" s="28"/>
      <c r="H24" s="28"/>
      <c r="I24" s="28"/>
      <c r="J24" s="28"/>
      <c r="K24" s="20"/>
      <c r="L24" s="20"/>
      <c r="M24" s="20"/>
      <c r="N24" s="20"/>
      <c r="O24" s="20"/>
    </row>
    <row r="25" spans="1:15" ht="16.5" x14ac:dyDescent="0.3">
      <c r="A25" s="28"/>
      <c r="B25" s="28" t="s">
        <v>126</v>
      </c>
      <c r="C25" s="32" t="s">
        <v>129</v>
      </c>
      <c r="D25" s="28"/>
      <c r="E25" s="28"/>
      <c r="F25" s="28"/>
      <c r="G25" s="28"/>
      <c r="H25" s="28"/>
      <c r="I25" s="28"/>
      <c r="J25" s="28"/>
      <c r="K25" s="20"/>
      <c r="L25" s="20"/>
      <c r="M25" s="20"/>
      <c r="N25" s="20"/>
      <c r="O25" s="20"/>
    </row>
    <row r="26" spans="1:15" ht="16.5" x14ac:dyDescent="0.3">
      <c r="A26" s="28"/>
      <c r="B26" s="28"/>
      <c r="C26" s="28" t="s">
        <v>127</v>
      </c>
      <c r="D26" s="28"/>
      <c r="E26" s="28"/>
      <c r="F26" s="28"/>
      <c r="G26" s="28"/>
      <c r="H26" s="28"/>
      <c r="I26" s="28"/>
      <c r="J26" s="28"/>
      <c r="K26" s="20"/>
      <c r="L26" s="20"/>
      <c r="M26" s="20"/>
      <c r="N26" s="20"/>
      <c r="O26" s="20"/>
    </row>
    <row r="27" spans="1:15" ht="16.5" x14ac:dyDescent="0.3">
      <c r="A27" s="28"/>
      <c r="B27" s="28"/>
      <c r="C27" s="28" t="s">
        <v>128</v>
      </c>
      <c r="D27" s="28"/>
      <c r="E27" s="28"/>
      <c r="F27" s="28"/>
      <c r="G27" s="28"/>
      <c r="H27" s="28"/>
      <c r="I27" s="28"/>
      <c r="J27" s="28"/>
      <c r="K27" s="20"/>
      <c r="L27" s="20"/>
      <c r="M27" s="20"/>
      <c r="N27" s="20"/>
      <c r="O27" s="20"/>
    </row>
    <row r="28" spans="1:15" ht="16.5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0"/>
      <c r="L28" s="20"/>
      <c r="M28" s="20"/>
      <c r="N28" s="20"/>
      <c r="O28" s="20"/>
    </row>
    <row r="29" spans="1:15" x14ac:dyDescent="0.3">
      <c r="B29" s="21" t="s">
        <v>358</v>
      </c>
      <c r="C29" s="21" t="s">
        <v>359</v>
      </c>
    </row>
    <row r="32" spans="1:15" x14ac:dyDescent="0.3">
      <c r="A32" s="21" t="s">
        <v>351</v>
      </c>
    </row>
    <row r="33" spans="2:3" ht="15" x14ac:dyDescent="0.3">
      <c r="B33" s="27" t="s">
        <v>352</v>
      </c>
    </row>
    <row r="34" spans="2:3" ht="15" x14ac:dyDescent="0.3">
      <c r="B34" s="27" t="s">
        <v>353</v>
      </c>
      <c r="C34" s="21" t="s">
        <v>360</v>
      </c>
    </row>
    <row r="35" spans="2:3" ht="15" x14ac:dyDescent="0.3">
      <c r="B35" s="27" t="s">
        <v>354</v>
      </c>
    </row>
    <row r="36" spans="2:3" ht="15" x14ac:dyDescent="0.3">
      <c r="B36" s="27" t="s">
        <v>355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C15" sqref="C15"/>
    </sheetView>
  </sheetViews>
  <sheetFormatPr defaultRowHeight="16.5" x14ac:dyDescent="0.3"/>
  <cols>
    <col min="1" max="1" width="18.75" customWidth="1"/>
    <col min="2" max="2" width="40.875" customWidth="1"/>
  </cols>
  <sheetData>
    <row r="1" spans="1:2" x14ac:dyDescent="0.3">
      <c r="A1" s="22" t="s">
        <v>25</v>
      </c>
      <c r="B1" s="22" t="s">
        <v>26</v>
      </c>
    </row>
    <row r="2" spans="1:2" x14ac:dyDescent="0.3">
      <c r="A2" s="23" t="s">
        <v>2</v>
      </c>
      <c r="B2" s="23" t="s">
        <v>104</v>
      </c>
    </row>
    <row r="3" spans="1:2" x14ac:dyDescent="0.3">
      <c r="A3" s="23" t="s">
        <v>1</v>
      </c>
      <c r="B3" s="23" t="s">
        <v>14</v>
      </c>
    </row>
    <row r="4" spans="1:2" x14ac:dyDescent="0.3">
      <c r="A4" s="23" t="s">
        <v>0</v>
      </c>
      <c r="B4" s="23" t="s">
        <v>13</v>
      </c>
    </row>
    <row r="5" spans="1:2" x14ac:dyDescent="0.3">
      <c r="A5" s="23" t="s">
        <v>342</v>
      </c>
      <c r="B5" s="23" t="s">
        <v>343</v>
      </c>
    </row>
    <row r="6" spans="1:2" x14ac:dyDescent="0.3">
      <c r="A6" s="23" t="s">
        <v>3</v>
      </c>
      <c r="B6" s="23" t="s">
        <v>15</v>
      </c>
    </row>
    <row r="7" spans="1:2" x14ac:dyDescent="0.3">
      <c r="A7" s="23" t="s">
        <v>4</v>
      </c>
      <c r="B7" s="23" t="s">
        <v>16</v>
      </c>
    </row>
    <row r="8" spans="1:2" x14ac:dyDescent="0.3">
      <c r="A8" s="23" t="s">
        <v>5</v>
      </c>
      <c r="B8" s="23" t="s">
        <v>17</v>
      </c>
    </row>
    <row r="9" spans="1:2" x14ac:dyDescent="0.3">
      <c r="A9" s="23" t="s">
        <v>6</v>
      </c>
      <c r="B9" s="23" t="s">
        <v>18</v>
      </c>
    </row>
    <row r="10" spans="1:2" x14ac:dyDescent="0.3">
      <c r="A10" s="23" t="s">
        <v>7</v>
      </c>
      <c r="B10" s="23" t="s">
        <v>19</v>
      </c>
    </row>
    <row r="11" spans="1:2" x14ac:dyDescent="0.3">
      <c r="A11" s="23" t="s">
        <v>8</v>
      </c>
      <c r="B11" s="23" t="s">
        <v>20</v>
      </c>
    </row>
    <row r="12" spans="1:2" x14ac:dyDescent="0.3">
      <c r="A12" s="23" t="s">
        <v>9</v>
      </c>
      <c r="B12" s="23" t="s">
        <v>21</v>
      </c>
    </row>
    <row r="13" spans="1:2" x14ac:dyDescent="0.3">
      <c r="A13" s="23" t="s">
        <v>10</v>
      </c>
      <c r="B13" s="23" t="s">
        <v>22</v>
      </c>
    </row>
    <row r="14" spans="1:2" x14ac:dyDescent="0.3">
      <c r="A14" s="23" t="s">
        <v>11</v>
      </c>
      <c r="B14" s="23" t="s">
        <v>23</v>
      </c>
    </row>
    <row r="15" spans="1:2" x14ac:dyDescent="0.3">
      <c r="A15" s="23" t="s">
        <v>12</v>
      </c>
      <c r="B15" s="23" t="s">
        <v>24</v>
      </c>
    </row>
    <row r="16" spans="1:2" x14ac:dyDescent="0.3">
      <c r="A16" s="23" t="s">
        <v>362</v>
      </c>
      <c r="B16" s="23" t="s">
        <v>363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K23" sqref="K23"/>
    </sheetView>
  </sheetViews>
  <sheetFormatPr defaultRowHeight="13.5" x14ac:dyDescent="0.3"/>
  <cols>
    <col min="1" max="16384" width="9" style="20"/>
  </cols>
  <sheetData>
    <row r="1" spans="1:2" x14ac:dyDescent="0.3">
      <c r="A1" s="20" t="s">
        <v>312</v>
      </c>
    </row>
    <row r="3" spans="1:2" x14ac:dyDescent="0.3">
      <c r="A3" s="20" t="s">
        <v>327</v>
      </c>
    </row>
    <row r="4" spans="1:2" x14ac:dyDescent="0.3">
      <c r="B4" s="36" t="s">
        <v>328</v>
      </c>
    </row>
    <row r="5" spans="1:2" x14ac:dyDescent="0.3">
      <c r="B5" s="36" t="s">
        <v>329</v>
      </c>
    </row>
    <row r="7" spans="1:2" x14ac:dyDescent="0.3">
      <c r="A7" s="20" t="s">
        <v>313</v>
      </c>
    </row>
    <row r="8" spans="1:2" x14ac:dyDescent="0.3">
      <c r="B8" s="20" t="s">
        <v>314</v>
      </c>
    </row>
    <row r="9" spans="1:2" x14ac:dyDescent="0.3">
      <c r="B9" s="20" t="s">
        <v>323</v>
      </c>
    </row>
    <row r="11" spans="1:2" x14ac:dyDescent="0.3">
      <c r="A11" s="20" t="s">
        <v>315</v>
      </c>
    </row>
    <row r="12" spans="1:2" x14ac:dyDescent="0.3">
      <c r="B12" s="20" t="s">
        <v>324</v>
      </c>
    </row>
    <row r="14" spans="1:2" x14ac:dyDescent="0.3">
      <c r="A14" s="20" t="s">
        <v>316</v>
      </c>
    </row>
    <row r="15" spans="1:2" x14ac:dyDescent="0.3">
      <c r="B15" s="20" t="s">
        <v>317</v>
      </c>
    </row>
    <row r="16" spans="1:2" x14ac:dyDescent="0.3">
      <c r="B16" s="20" t="s">
        <v>318</v>
      </c>
    </row>
    <row r="18" spans="1:3" x14ac:dyDescent="0.3">
      <c r="A18" s="20" t="s">
        <v>319</v>
      </c>
    </row>
    <row r="19" spans="1:3" x14ac:dyDescent="0.3">
      <c r="B19" s="20" t="s">
        <v>320</v>
      </c>
    </row>
    <row r="20" spans="1:3" x14ac:dyDescent="0.3">
      <c r="B20" s="20" t="s">
        <v>326</v>
      </c>
    </row>
    <row r="21" spans="1:3" x14ac:dyDescent="0.3">
      <c r="C21" s="20" t="s">
        <v>364</v>
      </c>
    </row>
    <row r="23" spans="1:3" x14ac:dyDescent="0.3">
      <c r="A23" s="20" t="s">
        <v>365</v>
      </c>
    </row>
    <row r="24" spans="1:3" x14ac:dyDescent="0.3">
      <c r="B24" s="20" t="s">
        <v>321</v>
      </c>
    </row>
    <row r="26" spans="1:3" x14ac:dyDescent="0.3">
      <c r="A26" s="20" t="s">
        <v>322</v>
      </c>
    </row>
    <row r="30" spans="1:3" x14ac:dyDescent="0.3">
      <c r="A30" s="20" t="s">
        <v>333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opLeftCell="A19" workbookViewId="0">
      <selection activeCell="E5" sqref="E5"/>
    </sheetView>
  </sheetViews>
  <sheetFormatPr defaultRowHeight="16.5" x14ac:dyDescent="0.3"/>
  <sheetData>
    <row r="1" spans="1:2" x14ac:dyDescent="0.3">
      <c r="A1" t="s">
        <v>346</v>
      </c>
    </row>
    <row r="2" spans="1:2" x14ac:dyDescent="0.3">
      <c r="A2" t="s">
        <v>345</v>
      </c>
    </row>
    <row r="3" spans="1:2" x14ac:dyDescent="0.3">
      <c r="B3" t="s">
        <v>344</v>
      </c>
    </row>
    <row r="5" spans="1:2" x14ac:dyDescent="0.3">
      <c r="A5" t="s">
        <v>347</v>
      </c>
    </row>
    <row r="6" spans="1:2" x14ac:dyDescent="0.3">
      <c r="B6" t="s">
        <v>348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7"/>
  <sheetViews>
    <sheetView topLeftCell="A61" workbookViewId="0">
      <selection activeCell="D15" sqref="D15"/>
    </sheetView>
  </sheetViews>
  <sheetFormatPr defaultRowHeight="16.5" x14ac:dyDescent="0.3"/>
  <cols>
    <col min="1" max="1" width="11.375" customWidth="1"/>
    <col min="2" max="2" width="18" customWidth="1"/>
    <col min="3" max="3" width="65.125" customWidth="1"/>
  </cols>
  <sheetData>
    <row r="2" spans="1:3" ht="20.25" x14ac:dyDescent="0.3">
      <c r="A2" s="10" t="s">
        <v>304</v>
      </c>
    </row>
    <row r="3" spans="1:3" x14ac:dyDescent="0.3">
      <c r="A3" s="11" t="s">
        <v>178</v>
      </c>
      <c r="B3" s="11" t="s">
        <v>180</v>
      </c>
      <c r="C3" s="11" t="s">
        <v>181</v>
      </c>
    </row>
    <row r="4" spans="1:3" x14ac:dyDescent="0.3">
      <c r="A4" s="12" t="s">
        <v>297</v>
      </c>
      <c r="B4" s="12" t="s">
        <v>298</v>
      </c>
      <c r="C4" s="12"/>
    </row>
    <row r="5" spans="1:3" x14ac:dyDescent="0.3">
      <c r="A5" s="12" t="s">
        <v>299</v>
      </c>
      <c r="B5" s="12" t="s">
        <v>136</v>
      </c>
      <c r="C5" s="12" t="s">
        <v>305</v>
      </c>
    </row>
    <row r="6" spans="1:3" x14ac:dyDescent="0.3">
      <c r="A6" s="12" t="s">
        <v>300</v>
      </c>
      <c r="B6" s="12" t="s">
        <v>157</v>
      </c>
      <c r="C6" s="12" t="s">
        <v>306</v>
      </c>
    </row>
    <row r="7" spans="1:3" x14ac:dyDescent="0.3">
      <c r="A7" s="12" t="s">
        <v>301</v>
      </c>
      <c r="B7" s="12" t="s">
        <v>157</v>
      </c>
      <c r="C7" s="13" t="s">
        <v>307</v>
      </c>
    </row>
    <row r="8" spans="1:3" x14ac:dyDescent="0.3">
      <c r="A8" s="12" t="s">
        <v>154</v>
      </c>
      <c r="B8" s="12" t="s">
        <v>155</v>
      </c>
      <c r="C8" s="12"/>
    </row>
    <row r="9" spans="1:3" ht="40.5" x14ac:dyDescent="0.3">
      <c r="A9" s="12" t="s">
        <v>302</v>
      </c>
      <c r="B9" s="12" t="s">
        <v>167</v>
      </c>
      <c r="C9" s="13" t="s">
        <v>308</v>
      </c>
    </row>
    <row r="10" spans="1:3" x14ac:dyDescent="0.3">
      <c r="A10" s="12" t="s">
        <v>303</v>
      </c>
      <c r="B10" s="12" t="s">
        <v>167</v>
      </c>
      <c r="C10" s="12"/>
    </row>
    <row r="12" spans="1:3" ht="20.25" x14ac:dyDescent="0.3">
      <c r="A12" s="10" t="s">
        <v>309</v>
      </c>
    </row>
    <row r="13" spans="1:3" x14ac:dyDescent="0.3">
      <c r="A13" s="11" t="s">
        <v>178</v>
      </c>
      <c r="B13" s="11" t="s">
        <v>180</v>
      </c>
      <c r="C13" s="11" t="s">
        <v>181</v>
      </c>
    </row>
    <row r="14" spans="1:3" x14ac:dyDescent="0.3">
      <c r="A14" s="12" t="s">
        <v>132</v>
      </c>
      <c r="B14" s="12" t="s">
        <v>133</v>
      </c>
      <c r="C14" s="12" t="s">
        <v>182</v>
      </c>
    </row>
    <row r="15" spans="1:3" x14ac:dyDescent="0.3">
      <c r="A15" s="12" t="s">
        <v>134</v>
      </c>
      <c r="B15" s="12" t="s">
        <v>133</v>
      </c>
      <c r="C15" s="12" t="s">
        <v>183</v>
      </c>
    </row>
    <row r="16" spans="1:3" x14ac:dyDescent="0.3">
      <c r="A16" s="12" t="s">
        <v>135</v>
      </c>
      <c r="B16" s="12" t="s">
        <v>136</v>
      </c>
      <c r="C16" s="12" t="s">
        <v>184</v>
      </c>
    </row>
    <row r="17" spans="1:3" ht="57" customHeight="1" x14ac:dyDescent="0.3">
      <c r="A17" s="12" t="s">
        <v>198</v>
      </c>
      <c r="B17" s="12" t="s">
        <v>136</v>
      </c>
      <c r="C17" s="13" t="s">
        <v>199</v>
      </c>
    </row>
    <row r="18" spans="1:3" x14ac:dyDescent="0.3">
      <c r="A18" s="12" t="s">
        <v>137</v>
      </c>
      <c r="B18" s="12" t="s">
        <v>138</v>
      </c>
      <c r="C18" s="12" t="s">
        <v>185</v>
      </c>
    </row>
    <row r="19" spans="1:3" x14ac:dyDescent="0.3">
      <c r="A19" s="12" t="s">
        <v>139</v>
      </c>
      <c r="B19" s="12" t="s">
        <v>138</v>
      </c>
      <c r="C19" s="12" t="s">
        <v>186</v>
      </c>
    </row>
    <row r="20" spans="1:3" x14ac:dyDescent="0.3">
      <c r="A20" s="12" t="s">
        <v>140</v>
      </c>
      <c r="B20" s="12" t="s">
        <v>138</v>
      </c>
      <c r="C20" s="12" t="s">
        <v>141</v>
      </c>
    </row>
    <row r="21" spans="1:3" x14ac:dyDescent="0.3">
      <c r="A21" s="12" t="s">
        <v>142</v>
      </c>
      <c r="B21" s="12" t="s">
        <v>143</v>
      </c>
      <c r="C21" s="12" t="s">
        <v>187</v>
      </c>
    </row>
    <row r="22" spans="1:3" x14ac:dyDescent="0.3">
      <c r="A22" s="12" t="s">
        <v>144</v>
      </c>
      <c r="B22" s="12" t="s">
        <v>143</v>
      </c>
      <c r="C22" s="12" t="s">
        <v>188</v>
      </c>
    </row>
    <row r="23" spans="1:3" x14ac:dyDescent="0.3">
      <c r="A23" s="12" t="s">
        <v>145</v>
      </c>
      <c r="B23" s="12" t="s">
        <v>146</v>
      </c>
      <c r="C23" s="12" t="s">
        <v>147</v>
      </c>
    </row>
    <row r="24" spans="1:3" x14ac:dyDescent="0.3">
      <c r="A24" s="12" t="s">
        <v>148</v>
      </c>
      <c r="B24" s="12" t="s">
        <v>133</v>
      </c>
      <c r="C24" s="12" t="s">
        <v>149</v>
      </c>
    </row>
    <row r="25" spans="1:3" x14ac:dyDescent="0.3">
      <c r="A25" s="12" t="s">
        <v>150</v>
      </c>
      <c r="B25" s="12" t="s">
        <v>146</v>
      </c>
      <c r="C25" s="12" t="s">
        <v>151</v>
      </c>
    </row>
    <row r="26" spans="1:3" x14ac:dyDescent="0.3">
      <c r="A26" s="12" t="s">
        <v>152</v>
      </c>
      <c r="B26" s="12" t="s">
        <v>133</v>
      </c>
      <c r="C26" s="12" t="s">
        <v>153</v>
      </c>
    </row>
    <row r="27" spans="1:3" x14ac:dyDescent="0.3">
      <c r="A27" s="12" t="s">
        <v>154</v>
      </c>
      <c r="B27" s="12" t="s">
        <v>155</v>
      </c>
      <c r="C27" s="12" t="s">
        <v>189</v>
      </c>
    </row>
    <row r="28" spans="1:3" x14ac:dyDescent="0.3">
      <c r="A28" s="12" t="s">
        <v>156</v>
      </c>
      <c r="B28" s="12" t="s">
        <v>157</v>
      </c>
      <c r="C28" s="12" t="s">
        <v>190</v>
      </c>
    </row>
    <row r="29" spans="1:3" x14ac:dyDescent="0.3">
      <c r="A29" s="12" t="s">
        <v>158</v>
      </c>
      <c r="B29" s="12" t="s">
        <v>159</v>
      </c>
      <c r="C29" s="12" t="s">
        <v>191</v>
      </c>
    </row>
    <row r="30" spans="1:3" x14ac:dyDescent="0.3">
      <c r="A30" s="12" t="s">
        <v>160</v>
      </c>
      <c r="B30" s="12" t="s">
        <v>133</v>
      </c>
      <c r="C30" s="12" t="s">
        <v>193</v>
      </c>
    </row>
    <row r="31" spans="1:3" x14ac:dyDescent="0.3">
      <c r="A31" s="12" t="s">
        <v>161</v>
      </c>
      <c r="B31" s="12" t="s">
        <v>133</v>
      </c>
      <c r="C31" s="12" t="s">
        <v>192</v>
      </c>
    </row>
    <row r="32" spans="1:3" x14ac:dyDescent="0.3">
      <c r="A32" s="12" t="s">
        <v>162</v>
      </c>
      <c r="B32" s="12" t="s">
        <v>133</v>
      </c>
      <c r="C32" s="12" t="s">
        <v>194</v>
      </c>
    </row>
    <row r="33" spans="1:3" x14ac:dyDescent="0.3">
      <c r="A33" s="12" t="s">
        <v>163</v>
      </c>
      <c r="B33" s="12" t="s">
        <v>155</v>
      </c>
      <c r="C33" s="12" t="s">
        <v>195</v>
      </c>
    </row>
    <row r="34" spans="1:3" x14ac:dyDescent="0.3">
      <c r="A34" s="12" t="s">
        <v>164</v>
      </c>
      <c r="B34" s="12" t="s">
        <v>165</v>
      </c>
      <c r="C34" s="12" t="s">
        <v>196</v>
      </c>
    </row>
    <row r="35" spans="1:3" x14ac:dyDescent="0.3">
      <c r="A35" s="12" t="s">
        <v>166</v>
      </c>
      <c r="B35" s="12" t="s">
        <v>167</v>
      </c>
      <c r="C35" s="12" t="s">
        <v>197</v>
      </c>
    </row>
    <row r="36" spans="1:3" x14ac:dyDescent="0.3">
      <c r="A36" s="12" t="s">
        <v>168</v>
      </c>
      <c r="B36" s="12" t="s">
        <v>133</v>
      </c>
      <c r="C36" s="12" t="s">
        <v>169</v>
      </c>
    </row>
    <row r="37" spans="1:3" x14ac:dyDescent="0.3">
      <c r="A37" s="12" t="s">
        <v>170</v>
      </c>
      <c r="B37" s="12" t="s">
        <v>133</v>
      </c>
      <c r="C37" s="12" t="s">
        <v>171</v>
      </c>
    </row>
    <row r="38" spans="1:3" x14ac:dyDescent="0.3">
      <c r="A38" s="12" t="s">
        <v>172</v>
      </c>
      <c r="B38" s="12" t="s">
        <v>173</v>
      </c>
      <c r="C38" s="12" t="s">
        <v>174</v>
      </c>
    </row>
    <row r="39" spans="1:3" x14ac:dyDescent="0.3">
      <c r="A39" s="12" t="s">
        <v>175</v>
      </c>
      <c r="B39" s="12" t="s">
        <v>173</v>
      </c>
      <c r="C39" s="12" t="s">
        <v>176</v>
      </c>
    </row>
    <row r="40" spans="1:3" x14ac:dyDescent="0.3">
      <c r="A40" s="12" t="s">
        <v>131</v>
      </c>
      <c r="B40" s="12" t="s">
        <v>138</v>
      </c>
      <c r="C40" s="12" t="s">
        <v>177</v>
      </c>
    </row>
    <row r="43" spans="1:3" ht="20.25" x14ac:dyDescent="0.3">
      <c r="A43" s="10" t="s">
        <v>223</v>
      </c>
    </row>
    <row r="44" spans="1:3" x14ac:dyDescent="0.3">
      <c r="A44" s="11" t="s">
        <v>178</v>
      </c>
      <c r="B44" s="11" t="s">
        <v>180</v>
      </c>
      <c r="C44" s="11" t="s">
        <v>181</v>
      </c>
    </row>
    <row r="45" spans="1:3" x14ac:dyDescent="0.3">
      <c r="A45" s="12" t="s">
        <v>217</v>
      </c>
      <c r="B45" s="12" t="s">
        <v>218</v>
      </c>
      <c r="C45" s="12" t="s">
        <v>224</v>
      </c>
    </row>
    <row r="46" spans="1:3" x14ac:dyDescent="0.3">
      <c r="A46" s="12" t="s">
        <v>179</v>
      </c>
      <c r="B46" s="12" t="s">
        <v>155</v>
      </c>
      <c r="C46" s="12" t="s">
        <v>220</v>
      </c>
    </row>
    <row r="47" spans="1:3" x14ac:dyDescent="0.3">
      <c r="A47" s="12" t="s">
        <v>200</v>
      </c>
      <c r="B47" s="12" t="s">
        <v>155</v>
      </c>
      <c r="C47" s="12" t="s">
        <v>225</v>
      </c>
    </row>
    <row r="48" spans="1:3" x14ac:dyDescent="0.3">
      <c r="A48" s="12" t="s">
        <v>221</v>
      </c>
      <c r="B48" s="12" t="s">
        <v>136</v>
      </c>
      <c r="C48" s="13" t="s">
        <v>226</v>
      </c>
    </row>
    <row r="49" spans="1:3" x14ac:dyDescent="0.3">
      <c r="A49" s="12" t="s">
        <v>219</v>
      </c>
      <c r="B49" s="12" t="s">
        <v>157</v>
      </c>
      <c r="C49" s="12" t="s">
        <v>227</v>
      </c>
    </row>
    <row r="50" spans="1:3" x14ac:dyDescent="0.3">
      <c r="A50" s="12" t="s">
        <v>201</v>
      </c>
      <c r="B50" s="12" t="s">
        <v>202</v>
      </c>
      <c r="C50" s="12" t="s">
        <v>222</v>
      </c>
    </row>
    <row r="51" spans="1:3" x14ac:dyDescent="0.3">
      <c r="A51" s="12" t="s">
        <v>203</v>
      </c>
      <c r="B51" s="12" t="s">
        <v>202</v>
      </c>
      <c r="C51" s="12" t="s">
        <v>228</v>
      </c>
    </row>
    <row r="52" spans="1:3" x14ac:dyDescent="0.3">
      <c r="A52" s="12" t="s">
        <v>204</v>
      </c>
      <c r="B52" s="12" t="s">
        <v>205</v>
      </c>
      <c r="C52" s="12" t="s">
        <v>229</v>
      </c>
    </row>
    <row r="53" spans="1:3" x14ac:dyDescent="0.3">
      <c r="A53" s="12" t="s">
        <v>206</v>
      </c>
      <c r="B53" s="12" t="s">
        <v>157</v>
      </c>
      <c r="C53" s="12" t="s">
        <v>229</v>
      </c>
    </row>
    <row r="54" spans="1:3" x14ac:dyDescent="0.3">
      <c r="A54" s="12" t="s">
        <v>207</v>
      </c>
      <c r="B54" s="12" t="s">
        <v>136</v>
      </c>
      <c r="C54" s="12" t="s">
        <v>230</v>
      </c>
    </row>
    <row r="55" spans="1:3" x14ac:dyDescent="0.3">
      <c r="A55" s="12" t="s">
        <v>208</v>
      </c>
      <c r="B55" s="12" t="s">
        <v>209</v>
      </c>
      <c r="C55" s="12" t="s">
        <v>231</v>
      </c>
    </row>
    <row r="56" spans="1:3" x14ac:dyDescent="0.3">
      <c r="A56" s="12" t="s">
        <v>210</v>
      </c>
      <c r="B56" s="12" t="s">
        <v>136</v>
      </c>
      <c r="C56" s="12" t="s">
        <v>341</v>
      </c>
    </row>
    <row r="57" spans="1:3" x14ac:dyDescent="0.3">
      <c r="A57" s="12" t="s">
        <v>211</v>
      </c>
      <c r="B57" s="12" t="s">
        <v>155</v>
      </c>
      <c r="C57" s="12" t="s">
        <v>340</v>
      </c>
    </row>
    <row r="58" spans="1:3" x14ac:dyDescent="0.3">
      <c r="A58" s="12" t="s">
        <v>212</v>
      </c>
      <c r="B58" s="12" t="s">
        <v>133</v>
      </c>
      <c r="C58" s="12" t="s">
        <v>248</v>
      </c>
    </row>
    <row r="59" spans="1:3" x14ac:dyDescent="0.3">
      <c r="A59" s="12" t="s">
        <v>213</v>
      </c>
      <c r="B59" s="12" t="s">
        <v>133</v>
      </c>
      <c r="C59" s="12" t="s">
        <v>244</v>
      </c>
    </row>
    <row r="60" spans="1:3" x14ac:dyDescent="0.3">
      <c r="A60" s="12" t="s">
        <v>214</v>
      </c>
      <c r="B60" s="12" t="s">
        <v>133</v>
      </c>
      <c r="C60" s="12" t="s">
        <v>245</v>
      </c>
    </row>
    <row r="61" spans="1:3" x14ac:dyDescent="0.3">
      <c r="A61" s="12" t="s">
        <v>215</v>
      </c>
      <c r="B61" s="12" t="s">
        <v>133</v>
      </c>
      <c r="C61" s="12" t="s">
        <v>246</v>
      </c>
    </row>
    <row r="62" spans="1:3" x14ac:dyDescent="0.3">
      <c r="A62" s="12" t="s">
        <v>216</v>
      </c>
      <c r="B62" s="12" t="s">
        <v>133</v>
      </c>
      <c r="C62" s="12" t="s">
        <v>247</v>
      </c>
    </row>
    <row r="65" spans="1:3" ht="20.25" x14ac:dyDescent="0.3">
      <c r="A65" s="10" t="s">
        <v>249</v>
      </c>
    </row>
    <row r="66" spans="1:3" x14ac:dyDescent="0.3">
      <c r="A66" s="11" t="s">
        <v>178</v>
      </c>
      <c r="B66" s="11" t="s">
        <v>180</v>
      </c>
      <c r="C66" s="11" t="s">
        <v>181</v>
      </c>
    </row>
    <row r="67" spans="1:3" x14ac:dyDescent="0.3">
      <c r="A67" s="12" t="s">
        <v>250</v>
      </c>
      <c r="B67" s="12" t="s">
        <v>251</v>
      </c>
      <c r="C67" s="12"/>
    </row>
    <row r="68" spans="1:3" x14ac:dyDescent="0.3">
      <c r="A68" s="12" t="s">
        <v>252</v>
      </c>
      <c r="B68" s="12" t="s">
        <v>253</v>
      </c>
      <c r="C68" s="12" t="s">
        <v>254</v>
      </c>
    </row>
    <row r="69" spans="1:3" x14ac:dyDescent="0.3">
      <c r="A69" s="12" t="s">
        <v>255</v>
      </c>
      <c r="B69" s="12" t="s">
        <v>256</v>
      </c>
      <c r="C69" s="12"/>
    </row>
    <row r="70" spans="1:3" x14ac:dyDescent="0.3">
      <c r="A70" s="12" t="s">
        <v>257</v>
      </c>
      <c r="B70" s="12" t="s">
        <v>258</v>
      </c>
      <c r="C70" s="12" t="s">
        <v>259</v>
      </c>
    </row>
    <row r="71" spans="1:3" x14ac:dyDescent="0.3">
      <c r="A71" s="12" t="s">
        <v>260</v>
      </c>
      <c r="B71" s="12" t="s">
        <v>253</v>
      </c>
      <c r="C71" s="12" t="s">
        <v>261</v>
      </c>
    </row>
    <row r="72" spans="1:3" x14ac:dyDescent="0.3">
      <c r="A72" s="12" t="s">
        <v>262</v>
      </c>
      <c r="B72" s="12" t="s">
        <v>263</v>
      </c>
      <c r="C72" s="12" t="s">
        <v>264</v>
      </c>
    </row>
    <row r="73" spans="1:3" x14ac:dyDescent="0.3">
      <c r="A73" s="12" t="s">
        <v>265</v>
      </c>
      <c r="B73" s="12" t="s">
        <v>266</v>
      </c>
      <c r="C73" s="12" t="s">
        <v>267</v>
      </c>
    </row>
    <row r="74" spans="1:3" x14ac:dyDescent="0.3">
      <c r="A74" s="12" t="s">
        <v>268</v>
      </c>
      <c r="B74" s="12" t="s">
        <v>269</v>
      </c>
      <c r="C74" s="12" t="s">
        <v>270</v>
      </c>
    </row>
    <row r="75" spans="1:3" x14ac:dyDescent="0.3">
      <c r="A75" s="12" t="s">
        <v>271</v>
      </c>
      <c r="B75" s="12" t="s">
        <v>272</v>
      </c>
      <c r="C75" s="12" t="s">
        <v>273</v>
      </c>
    </row>
    <row r="76" spans="1:3" x14ac:dyDescent="0.3">
      <c r="A76" s="12" t="s">
        <v>274</v>
      </c>
      <c r="B76" s="12" t="s">
        <v>256</v>
      </c>
      <c r="C76" s="12" t="s">
        <v>275</v>
      </c>
    </row>
    <row r="77" spans="1:3" x14ac:dyDescent="0.3">
      <c r="A77" s="12" t="s">
        <v>276</v>
      </c>
      <c r="B77" s="12" t="s">
        <v>256</v>
      </c>
      <c r="C77" s="12" t="s">
        <v>275</v>
      </c>
    </row>
    <row r="78" spans="1:3" x14ac:dyDescent="0.3">
      <c r="A78" s="12" t="s">
        <v>277</v>
      </c>
      <c r="B78" s="12" t="s">
        <v>256</v>
      </c>
      <c r="C78" s="12" t="s">
        <v>275</v>
      </c>
    </row>
    <row r="79" spans="1:3" x14ac:dyDescent="0.3">
      <c r="A79" s="12" t="s">
        <v>278</v>
      </c>
      <c r="B79" s="12" t="s">
        <v>256</v>
      </c>
      <c r="C79" s="12" t="s">
        <v>275</v>
      </c>
    </row>
    <row r="80" spans="1:3" x14ac:dyDescent="0.3">
      <c r="A80" s="12" t="s">
        <v>279</v>
      </c>
      <c r="B80" s="12" t="s">
        <v>280</v>
      </c>
      <c r="C80" s="12" t="s">
        <v>281</v>
      </c>
    </row>
    <row r="81" spans="1:3" x14ac:dyDescent="0.3">
      <c r="A81" s="12" t="s">
        <v>282</v>
      </c>
      <c r="B81" s="12" t="s">
        <v>253</v>
      </c>
      <c r="C81" s="12" t="s">
        <v>283</v>
      </c>
    </row>
    <row r="82" spans="1:3" x14ac:dyDescent="0.3">
      <c r="A82" s="12" t="s">
        <v>284</v>
      </c>
      <c r="B82" s="12" t="s">
        <v>253</v>
      </c>
      <c r="C82" s="12" t="s">
        <v>285</v>
      </c>
    </row>
    <row r="83" spans="1:3" x14ac:dyDescent="0.3">
      <c r="A83" s="12" t="s">
        <v>286</v>
      </c>
      <c r="B83" s="12" t="s">
        <v>253</v>
      </c>
      <c r="C83" s="12" t="s">
        <v>287</v>
      </c>
    </row>
    <row r="84" spans="1:3" x14ac:dyDescent="0.3">
      <c r="A84" s="12" t="s">
        <v>288</v>
      </c>
      <c r="B84" s="12" t="s">
        <v>251</v>
      </c>
      <c r="C84" s="12" t="s">
        <v>289</v>
      </c>
    </row>
    <row r="85" spans="1:3" x14ac:dyDescent="0.3">
      <c r="A85" s="12" t="s">
        <v>290</v>
      </c>
      <c r="B85" s="12" t="s">
        <v>280</v>
      </c>
      <c r="C85" s="12" t="s">
        <v>291</v>
      </c>
    </row>
    <row r="86" spans="1:3" x14ac:dyDescent="0.3">
      <c r="A86" s="12" t="s">
        <v>292</v>
      </c>
      <c r="B86" s="12" t="s">
        <v>280</v>
      </c>
      <c r="C86" s="12" t="s">
        <v>293</v>
      </c>
    </row>
    <row r="87" spans="1:3" x14ac:dyDescent="0.3">
      <c r="A87" s="12" t="s">
        <v>294</v>
      </c>
      <c r="B87" s="12" t="s">
        <v>295</v>
      </c>
      <c r="C87" s="12" t="s">
        <v>296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opLeftCell="A10" workbookViewId="0">
      <selection activeCell="D34" sqref="D34"/>
    </sheetView>
  </sheetViews>
  <sheetFormatPr defaultRowHeight="16.5" x14ac:dyDescent="0.3"/>
  <cols>
    <col min="1" max="1" width="16" customWidth="1"/>
    <col min="2" max="2" width="26" customWidth="1"/>
    <col min="3" max="3" width="55" style="9" customWidth="1"/>
    <col min="4" max="4" width="27.875" style="9" customWidth="1"/>
  </cols>
  <sheetData>
    <row r="1" spans="1:4" x14ac:dyDescent="0.3">
      <c r="A1" s="15" t="s">
        <v>27</v>
      </c>
      <c r="B1" s="15" t="s">
        <v>46</v>
      </c>
      <c r="C1" s="16" t="s">
        <v>47</v>
      </c>
      <c r="D1" s="16" t="s">
        <v>310</v>
      </c>
    </row>
    <row r="2" spans="1:4" x14ac:dyDescent="0.3">
      <c r="A2" s="19" t="s">
        <v>81</v>
      </c>
      <c r="B2" s="14"/>
      <c r="C2" s="17"/>
      <c r="D2" s="17"/>
    </row>
    <row r="3" spans="1:4" x14ac:dyDescent="0.3">
      <c r="A3" s="19"/>
      <c r="B3" s="14" t="s">
        <v>105</v>
      </c>
      <c r="C3" s="17" t="s">
        <v>82</v>
      </c>
      <c r="D3" s="17" t="s">
        <v>83</v>
      </c>
    </row>
    <row r="4" spans="1:4" x14ac:dyDescent="0.3">
      <c r="A4" s="19"/>
      <c r="B4" s="14" t="s">
        <v>84</v>
      </c>
      <c r="C4" s="17" t="s">
        <v>85</v>
      </c>
      <c r="D4" s="17" t="s">
        <v>86</v>
      </c>
    </row>
    <row r="5" spans="1:4" x14ac:dyDescent="0.3">
      <c r="A5" s="19"/>
      <c r="B5" s="14" t="s">
        <v>87</v>
      </c>
      <c r="C5" s="17" t="s">
        <v>88</v>
      </c>
      <c r="D5" s="17"/>
    </row>
    <row r="6" spans="1:4" x14ac:dyDescent="0.3">
      <c r="A6" s="19"/>
      <c r="B6" s="14" t="s">
        <v>89</v>
      </c>
      <c r="C6" s="17"/>
      <c r="D6" s="17"/>
    </row>
    <row r="7" spans="1:4" x14ac:dyDescent="0.3">
      <c r="A7" s="33" t="s">
        <v>80</v>
      </c>
      <c r="B7" s="34"/>
      <c r="C7" s="35"/>
      <c r="D7" s="35" t="s">
        <v>394</v>
      </c>
    </row>
    <row r="8" spans="1:4" x14ac:dyDescent="0.3">
      <c r="A8" s="33"/>
      <c r="B8" s="34" t="s">
        <v>28</v>
      </c>
      <c r="C8" s="35"/>
      <c r="D8" s="35"/>
    </row>
    <row r="9" spans="1:4" x14ac:dyDescent="0.3">
      <c r="A9" s="33"/>
      <c r="B9" s="34" t="s">
        <v>398</v>
      </c>
      <c r="C9" s="35" t="s">
        <v>36</v>
      </c>
      <c r="D9" s="35" t="s">
        <v>396</v>
      </c>
    </row>
    <row r="10" spans="1:4" x14ac:dyDescent="0.3">
      <c r="A10" s="33"/>
      <c r="B10" s="34" t="s">
        <v>397</v>
      </c>
      <c r="C10" s="35" t="s">
        <v>35</v>
      </c>
      <c r="D10" s="35" t="s">
        <v>399</v>
      </c>
    </row>
    <row r="11" spans="1:4" x14ac:dyDescent="0.3">
      <c r="A11" s="33"/>
      <c r="B11" s="34" t="s">
        <v>401</v>
      </c>
      <c r="C11" s="35" t="s">
        <v>402</v>
      </c>
      <c r="D11" s="35" t="s">
        <v>399</v>
      </c>
    </row>
    <row r="12" spans="1:4" x14ac:dyDescent="0.3">
      <c r="A12" s="33"/>
      <c r="B12" s="34" t="s">
        <v>400</v>
      </c>
      <c r="C12" s="35" t="s">
        <v>39</v>
      </c>
      <c r="D12" s="35" t="s">
        <v>399</v>
      </c>
    </row>
    <row r="13" spans="1:4" x14ac:dyDescent="0.3">
      <c r="A13" s="33"/>
      <c r="B13" s="34" t="s">
        <v>29</v>
      </c>
      <c r="C13" s="35" t="s">
        <v>37</v>
      </c>
      <c r="D13" s="35"/>
    </row>
    <row r="14" spans="1:4" x14ac:dyDescent="0.3">
      <c r="A14" s="33"/>
      <c r="B14" s="34" t="s">
        <v>30</v>
      </c>
      <c r="C14" s="35" t="s">
        <v>38</v>
      </c>
      <c r="D14" s="35"/>
    </row>
    <row r="15" spans="1:4" x14ac:dyDescent="0.3">
      <c r="A15" s="33"/>
      <c r="B15" s="34" t="s">
        <v>31</v>
      </c>
      <c r="C15" s="35" t="s">
        <v>40</v>
      </c>
      <c r="D15" s="35"/>
    </row>
    <row r="16" spans="1:4" x14ac:dyDescent="0.3">
      <c r="A16" s="33"/>
      <c r="B16" s="34" t="s">
        <v>34</v>
      </c>
      <c r="C16" s="35" t="s">
        <v>356</v>
      </c>
      <c r="D16" s="35"/>
    </row>
    <row r="17" spans="1:4" x14ac:dyDescent="0.3">
      <c r="A17" s="33"/>
      <c r="B17" s="34" t="s">
        <v>32</v>
      </c>
      <c r="C17" s="35" t="s">
        <v>41</v>
      </c>
      <c r="D17" s="35"/>
    </row>
    <row r="18" spans="1:4" ht="27" x14ac:dyDescent="0.3">
      <c r="A18" s="33"/>
      <c r="B18" s="34" t="s">
        <v>33</v>
      </c>
      <c r="C18" s="35" t="s">
        <v>42</v>
      </c>
      <c r="D18" s="35"/>
    </row>
    <row r="19" spans="1:4" x14ac:dyDescent="0.3">
      <c r="A19" s="33"/>
      <c r="B19" s="34" t="s">
        <v>43</v>
      </c>
      <c r="C19" s="35" t="s">
        <v>44</v>
      </c>
      <c r="D19" s="35"/>
    </row>
    <row r="20" spans="1:4" x14ac:dyDescent="0.3">
      <c r="A20" s="19" t="s">
        <v>45</v>
      </c>
      <c r="B20" s="14"/>
      <c r="C20" s="17"/>
      <c r="D20" s="17"/>
    </row>
    <row r="21" spans="1:4" x14ac:dyDescent="0.3">
      <c r="A21" s="19"/>
      <c r="B21" s="14" t="s">
        <v>55</v>
      </c>
      <c r="C21" s="17" t="s">
        <v>68</v>
      </c>
      <c r="D21" s="17"/>
    </row>
    <row r="22" spans="1:4" x14ac:dyDescent="0.3">
      <c r="A22" s="19"/>
      <c r="B22" s="14" t="s">
        <v>48</v>
      </c>
      <c r="C22" s="17" t="s">
        <v>69</v>
      </c>
      <c r="D22" s="17" t="s">
        <v>395</v>
      </c>
    </row>
    <row r="23" spans="1:4" x14ac:dyDescent="0.3">
      <c r="A23" s="19"/>
      <c r="B23" s="14" t="s">
        <v>49</v>
      </c>
      <c r="C23" s="17" t="s">
        <v>70</v>
      </c>
      <c r="D23" s="17" t="s">
        <v>395</v>
      </c>
    </row>
    <row r="24" spans="1:4" ht="37.5" x14ac:dyDescent="0.3">
      <c r="A24" s="19"/>
      <c r="B24" s="14" t="s">
        <v>50</v>
      </c>
      <c r="C24" s="17" t="s">
        <v>325</v>
      </c>
      <c r="D24" s="18" t="s">
        <v>311</v>
      </c>
    </row>
    <row r="25" spans="1:4" x14ac:dyDescent="0.3">
      <c r="A25" s="19" t="s">
        <v>51</v>
      </c>
      <c r="B25" s="14"/>
      <c r="C25" s="17"/>
      <c r="D25" s="17"/>
    </row>
    <row r="26" spans="1:4" x14ac:dyDescent="0.3">
      <c r="A26" s="19"/>
      <c r="B26" s="14" t="s">
        <v>90</v>
      </c>
      <c r="C26" s="17" t="s">
        <v>71</v>
      </c>
      <c r="D26" s="17"/>
    </row>
    <row r="27" spans="1:4" ht="27" x14ac:dyDescent="0.3">
      <c r="A27" s="19"/>
      <c r="B27" s="14" t="s">
        <v>91</v>
      </c>
      <c r="C27" s="17" t="s">
        <v>72</v>
      </c>
      <c r="D27" s="17" t="s">
        <v>73</v>
      </c>
    </row>
    <row r="28" spans="1:4" x14ac:dyDescent="0.3">
      <c r="A28" s="19"/>
      <c r="B28" s="14" t="s">
        <v>92</v>
      </c>
      <c r="C28" s="17" t="s">
        <v>93</v>
      </c>
      <c r="D28" s="17"/>
    </row>
    <row r="29" spans="1:4" x14ac:dyDescent="0.3">
      <c r="A29" s="19" t="s">
        <v>52</v>
      </c>
      <c r="B29" s="14"/>
      <c r="C29" s="17"/>
      <c r="D29" s="17"/>
    </row>
    <row r="30" spans="1:4" ht="27" x14ac:dyDescent="0.3">
      <c r="A30" s="19"/>
      <c r="B30" s="14" t="s">
        <v>242</v>
      </c>
      <c r="C30" s="17" t="s">
        <v>243</v>
      </c>
      <c r="D30" s="17"/>
    </row>
    <row r="31" spans="1:4" x14ac:dyDescent="0.3">
      <c r="A31" s="19"/>
      <c r="B31" s="14" t="s">
        <v>235</v>
      </c>
      <c r="C31" s="17" t="s">
        <v>241</v>
      </c>
      <c r="D31" s="17"/>
    </row>
    <row r="32" spans="1:4" x14ac:dyDescent="0.3">
      <c r="A32" s="19"/>
      <c r="B32" s="14" t="s">
        <v>239</v>
      </c>
      <c r="C32" s="17" t="s">
        <v>240</v>
      </c>
      <c r="D32" s="17"/>
    </row>
    <row r="33" spans="1:4" x14ac:dyDescent="0.3">
      <c r="A33" s="19"/>
      <c r="B33" s="14" t="s">
        <v>236</v>
      </c>
      <c r="C33" s="17" t="s">
        <v>74</v>
      </c>
      <c r="D33" s="17"/>
    </row>
    <row r="34" spans="1:4" x14ac:dyDescent="0.3">
      <c r="A34" s="19"/>
      <c r="B34" s="14" t="s">
        <v>237</v>
      </c>
      <c r="C34" s="17" t="s">
        <v>75</v>
      </c>
      <c r="D34" s="17"/>
    </row>
    <row r="35" spans="1:4" x14ac:dyDescent="0.3">
      <c r="A35" s="19"/>
      <c r="B35" s="14" t="s">
        <v>238</v>
      </c>
      <c r="C35" s="17" t="s">
        <v>76</v>
      </c>
      <c r="D35" s="1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15" zoomScaleNormal="115" workbookViewId="0">
      <selection activeCell="O6" sqref="O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opLeftCell="A52" zoomScale="145" zoomScaleNormal="145" workbookViewId="0">
      <selection activeCell="A26" sqref="A26"/>
    </sheetView>
  </sheetViews>
  <sheetFormatPr defaultRowHeight="16.5" x14ac:dyDescent="0.3"/>
  <cols>
    <col min="1" max="1" width="41.375" customWidth="1"/>
    <col min="2" max="2" width="12.125" customWidth="1"/>
  </cols>
  <sheetData>
    <row r="1" spans="1:2" x14ac:dyDescent="0.3">
      <c r="A1" s="8" t="s">
        <v>101</v>
      </c>
    </row>
    <row r="2" spans="1:2" x14ac:dyDescent="0.3">
      <c r="A2" s="7" t="s">
        <v>100</v>
      </c>
      <c r="B2" t="s">
        <v>102</v>
      </c>
    </row>
    <row r="3" spans="1:2" x14ac:dyDescent="0.3">
      <c r="A3" s="7" t="s">
        <v>99</v>
      </c>
      <c r="B3" t="s">
        <v>112</v>
      </c>
    </row>
    <row r="4" spans="1:2" x14ac:dyDescent="0.3">
      <c r="A4" s="7" t="s">
        <v>94</v>
      </c>
      <c r="B4" t="s">
        <v>113</v>
      </c>
    </row>
    <row r="5" spans="1:2" x14ac:dyDescent="0.3">
      <c r="A5" s="7" t="s">
        <v>95</v>
      </c>
    </row>
    <row r="6" spans="1:2" x14ac:dyDescent="0.3">
      <c r="A6" s="7" t="s">
        <v>96</v>
      </c>
      <c r="B6" t="s">
        <v>114</v>
      </c>
    </row>
    <row r="7" spans="1:2" x14ac:dyDescent="0.3">
      <c r="A7" s="7" t="s">
        <v>97</v>
      </c>
      <c r="B7" t="s">
        <v>115</v>
      </c>
    </row>
    <row r="8" spans="1:2" x14ac:dyDescent="0.3">
      <c r="A8" s="7" t="s">
        <v>98</v>
      </c>
    </row>
    <row r="9" spans="1:2" x14ac:dyDescent="0.3">
      <c r="A9" s="7" t="s">
        <v>232</v>
      </c>
      <c r="B9" t="s">
        <v>103</v>
      </c>
    </row>
    <row r="10" spans="1:2" x14ac:dyDescent="0.3">
      <c r="A10" t="s">
        <v>233</v>
      </c>
      <c r="B10" t="s">
        <v>234</v>
      </c>
    </row>
    <row r="11" spans="1:2" ht="17.25" x14ac:dyDescent="0.3">
      <c r="A11" s="39" t="s">
        <v>366</v>
      </c>
    </row>
    <row r="12" spans="1:2" ht="17.25" x14ac:dyDescent="0.3">
      <c r="A12" s="4"/>
    </row>
    <row r="13" spans="1:2" ht="17.25" x14ac:dyDescent="0.3">
      <c r="A13" s="4" t="s">
        <v>56</v>
      </c>
    </row>
    <row r="14" spans="1:2" x14ac:dyDescent="0.3">
      <c r="A14" s="37" t="s">
        <v>390</v>
      </c>
      <c r="B14" s="2"/>
    </row>
    <row r="15" spans="1:2" x14ac:dyDescent="0.3">
      <c r="A15" s="37" t="s">
        <v>371</v>
      </c>
      <c r="B15" s="2" t="s">
        <v>350</v>
      </c>
    </row>
    <row r="16" spans="1:2" x14ac:dyDescent="0.3">
      <c r="A16" s="37" t="s">
        <v>378</v>
      </c>
      <c r="B16" s="2" t="s">
        <v>379</v>
      </c>
    </row>
    <row r="17" spans="1:2" x14ac:dyDescent="0.3">
      <c r="A17" s="37" t="s">
        <v>375</v>
      </c>
      <c r="B17" s="2" t="s">
        <v>380</v>
      </c>
    </row>
    <row r="18" spans="1:2" x14ac:dyDescent="0.3">
      <c r="A18" s="37" t="s">
        <v>372</v>
      </c>
      <c r="B18" s="3" t="s">
        <v>381</v>
      </c>
    </row>
    <row r="19" spans="1:2" x14ac:dyDescent="0.3">
      <c r="A19" s="37" t="s">
        <v>382</v>
      </c>
      <c r="B19" s="3" t="s">
        <v>393</v>
      </c>
    </row>
    <row r="20" spans="1:2" x14ac:dyDescent="0.3">
      <c r="A20" s="37" t="s">
        <v>374</v>
      </c>
      <c r="B20" s="2" t="s">
        <v>383</v>
      </c>
    </row>
    <row r="21" spans="1:2" x14ac:dyDescent="0.3">
      <c r="A21" s="37" t="s">
        <v>367</v>
      </c>
      <c r="B21" s="2" t="s">
        <v>384</v>
      </c>
    </row>
    <row r="22" spans="1:2" x14ac:dyDescent="0.3">
      <c r="A22" s="37" t="s">
        <v>368</v>
      </c>
      <c r="B22" s="2" t="s">
        <v>385</v>
      </c>
    </row>
    <row r="23" spans="1:2" x14ac:dyDescent="0.3">
      <c r="A23" s="37" t="s">
        <v>369</v>
      </c>
      <c r="B23" s="2" t="s">
        <v>373</v>
      </c>
    </row>
    <row r="24" spans="1:2" x14ac:dyDescent="0.3">
      <c r="A24" s="37" t="s">
        <v>386</v>
      </c>
      <c r="B24" s="2" t="s">
        <v>387</v>
      </c>
    </row>
    <row r="25" spans="1:2" x14ac:dyDescent="0.3">
      <c r="A25" s="37" t="s">
        <v>376</v>
      </c>
      <c r="B25" s="3" t="s">
        <v>388</v>
      </c>
    </row>
    <row r="26" spans="1:2" x14ac:dyDescent="0.3">
      <c r="A26" s="37" t="s">
        <v>377</v>
      </c>
      <c r="B26" s="3" t="s">
        <v>392</v>
      </c>
    </row>
    <row r="27" spans="1:2" x14ac:dyDescent="0.3">
      <c r="A27" s="37" t="s">
        <v>370</v>
      </c>
      <c r="B27" s="2" t="s">
        <v>389</v>
      </c>
    </row>
    <row r="28" spans="1:2" x14ac:dyDescent="0.3">
      <c r="A28" s="37" t="s">
        <v>54</v>
      </c>
    </row>
    <row r="29" spans="1:2" x14ac:dyDescent="0.3">
      <c r="A29" s="37"/>
    </row>
    <row r="30" spans="1:2" ht="17.25" x14ac:dyDescent="0.3">
      <c r="A30" s="4" t="s">
        <v>63</v>
      </c>
    </row>
    <row r="31" spans="1:2" x14ac:dyDescent="0.3">
      <c r="A31" s="5" t="s">
        <v>53</v>
      </c>
    </row>
    <row r="32" spans="1:2" x14ac:dyDescent="0.3">
      <c r="A32" s="6" t="s">
        <v>57</v>
      </c>
    </row>
    <row r="33" spans="1:1" x14ac:dyDescent="0.3">
      <c r="A33" s="6" t="s">
        <v>64</v>
      </c>
    </row>
    <row r="34" spans="1:1" x14ac:dyDescent="0.3">
      <c r="A34" s="6" t="s">
        <v>65</v>
      </c>
    </row>
    <row r="35" spans="1:1" x14ac:dyDescent="0.3">
      <c r="A35" s="6" t="s">
        <v>77</v>
      </c>
    </row>
    <row r="36" spans="1:1" x14ac:dyDescent="0.3">
      <c r="A36" s="6" t="s">
        <v>78</v>
      </c>
    </row>
    <row r="37" spans="1:1" x14ac:dyDescent="0.3">
      <c r="A37" s="6" t="s">
        <v>66</v>
      </c>
    </row>
    <row r="38" spans="1:1" x14ac:dyDescent="0.3">
      <c r="A38" s="6" t="s">
        <v>58</v>
      </c>
    </row>
    <row r="39" spans="1:1" x14ac:dyDescent="0.3">
      <c r="A39" s="6" t="s">
        <v>59</v>
      </c>
    </row>
    <row r="40" spans="1:1" x14ac:dyDescent="0.3">
      <c r="A40" s="6" t="s">
        <v>79</v>
      </c>
    </row>
    <row r="41" spans="1:1" x14ac:dyDescent="0.3">
      <c r="A41" s="6" t="s">
        <v>65</v>
      </c>
    </row>
    <row r="42" spans="1:1" x14ac:dyDescent="0.3">
      <c r="A42" s="6" t="s">
        <v>77</v>
      </c>
    </row>
    <row r="43" spans="1:1" x14ac:dyDescent="0.3">
      <c r="A43" s="6" t="s">
        <v>78</v>
      </c>
    </row>
    <row r="44" spans="1:1" x14ac:dyDescent="0.3">
      <c r="A44" s="6" t="s">
        <v>66</v>
      </c>
    </row>
    <row r="45" spans="1:1" x14ac:dyDescent="0.3">
      <c r="A45" s="6" t="s">
        <v>58</v>
      </c>
    </row>
    <row r="46" spans="1:1" x14ac:dyDescent="0.3">
      <c r="A46" s="6" t="s">
        <v>60</v>
      </c>
    </row>
    <row r="47" spans="1:1" x14ac:dyDescent="0.3">
      <c r="A47" s="6" t="s">
        <v>67</v>
      </c>
    </row>
    <row r="48" spans="1:1" x14ac:dyDescent="0.3">
      <c r="A48" s="6" t="s">
        <v>65</v>
      </c>
    </row>
    <row r="49" spans="1:1" x14ac:dyDescent="0.3">
      <c r="A49" s="6" t="s">
        <v>77</v>
      </c>
    </row>
    <row r="50" spans="1:1" x14ac:dyDescent="0.3">
      <c r="A50" s="6" t="s">
        <v>78</v>
      </c>
    </row>
    <row r="51" spans="1:1" x14ac:dyDescent="0.3">
      <c r="A51" s="6" t="s">
        <v>66</v>
      </c>
    </row>
    <row r="52" spans="1:1" x14ac:dyDescent="0.3">
      <c r="A52" s="6" t="s">
        <v>61</v>
      </c>
    </row>
    <row r="53" spans="1:1" x14ac:dyDescent="0.3">
      <c r="A53" s="6" t="s">
        <v>62</v>
      </c>
    </row>
    <row r="54" spans="1:1" x14ac:dyDescent="0.3">
      <c r="A54" s="1"/>
    </row>
    <row r="55" spans="1:1" x14ac:dyDescent="0.3">
      <c r="A55" s="6" t="s">
        <v>339</v>
      </c>
    </row>
    <row r="56" spans="1:1" x14ac:dyDescent="0.3">
      <c r="A56" s="24" t="s">
        <v>334</v>
      </c>
    </row>
    <row r="57" spans="1:1" x14ac:dyDescent="0.3">
      <c r="A57" s="24" t="s">
        <v>335</v>
      </c>
    </row>
    <row r="58" spans="1:1" x14ac:dyDescent="0.3">
      <c r="A58" s="25"/>
    </row>
    <row r="59" spans="1:1" ht="49.5" x14ac:dyDescent="0.3">
      <c r="A59" s="26" t="s">
        <v>336</v>
      </c>
    </row>
    <row r="60" spans="1:1" ht="33" x14ac:dyDescent="0.3">
      <c r="A60" s="26" t="s">
        <v>337</v>
      </c>
    </row>
    <row r="61" spans="1:1" x14ac:dyDescent="0.3">
      <c r="A61" s="24" t="s">
        <v>338</v>
      </c>
    </row>
    <row r="62" spans="1:1" x14ac:dyDescent="0.3">
      <c r="A62" s="24" t="s">
        <v>391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14" sqref="D14"/>
    </sheetView>
  </sheetViews>
  <sheetFormatPr defaultRowHeight="16.5" x14ac:dyDescent="0.3"/>
  <cols>
    <col min="2" max="2" width="20.375" customWidth="1"/>
    <col min="4" max="4" width="26" customWidth="1"/>
    <col min="5" max="5" width="15.875" customWidth="1"/>
  </cols>
  <sheetData>
    <row r="1" spans="1:4" ht="75.75" customHeight="1" x14ac:dyDescent="0.3">
      <c r="B1" s="9"/>
    </row>
    <row r="2" spans="1:4" x14ac:dyDescent="0.3">
      <c r="A2" s="38"/>
      <c r="B2" s="38"/>
      <c r="C2" s="38"/>
      <c r="D2" s="38"/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L8" sqref="L8"/>
    </sheetView>
  </sheetViews>
  <sheetFormatPr defaultRowHeight="16.5" x14ac:dyDescent="0.3"/>
  <cols>
    <col min="1" max="1" width="13.75" style="51" customWidth="1"/>
    <col min="2" max="2" width="30.125" style="51" customWidth="1"/>
    <col min="3" max="3" width="46.375" style="78" customWidth="1"/>
    <col min="4" max="4" width="11.875" style="51" customWidth="1"/>
    <col min="5" max="9" width="6.375" style="51" customWidth="1"/>
    <col min="10" max="16384" width="9" style="51"/>
  </cols>
  <sheetData>
    <row r="1" spans="1:10" x14ac:dyDescent="0.3">
      <c r="A1" s="69" t="s">
        <v>436</v>
      </c>
      <c r="B1" s="69" t="s">
        <v>437</v>
      </c>
      <c r="C1" s="76" t="s">
        <v>438</v>
      </c>
      <c r="D1" s="70" t="s">
        <v>441</v>
      </c>
      <c r="E1" s="69" t="s">
        <v>435</v>
      </c>
      <c r="F1" s="69"/>
      <c r="G1" s="69" t="s">
        <v>434</v>
      </c>
      <c r="H1" s="69"/>
      <c r="I1" s="69"/>
      <c r="J1" s="69"/>
    </row>
    <row r="2" spans="1:10" ht="20.25" customHeight="1" x14ac:dyDescent="0.3">
      <c r="A2" s="69"/>
      <c r="B2" s="69"/>
      <c r="C2" s="76"/>
      <c r="D2" s="71"/>
      <c r="E2" s="72" t="s">
        <v>428</v>
      </c>
      <c r="F2" s="72" t="s">
        <v>429</v>
      </c>
      <c r="G2" s="72" t="s">
        <v>430</v>
      </c>
      <c r="H2" s="72" t="s">
        <v>431</v>
      </c>
      <c r="I2" s="72" t="s">
        <v>432</v>
      </c>
      <c r="J2" s="69"/>
    </row>
    <row r="3" spans="1:10" x14ac:dyDescent="0.3">
      <c r="A3" s="73" t="s">
        <v>403</v>
      </c>
      <c r="B3" s="73"/>
      <c r="C3" s="52"/>
      <c r="D3" s="49"/>
      <c r="E3" s="49">
        <v>2</v>
      </c>
      <c r="F3" s="49"/>
      <c r="G3" s="81"/>
      <c r="H3" s="81"/>
      <c r="I3" s="81"/>
    </row>
    <row r="4" spans="1:10" x14ac:dyDescent="0.3">
      <c r="A4" s="73"/>
      <c r="B4" s="73" t="s">
        <v>404</v>
      </c>
      <c r="C4" s="52" t="s">
        <v>412</v>
      </c>
      <c r="D4" s="49"/>
      <c r="E4" s="49"/>
      <c r="F4" s="49"/>
      <c r="G4" s="81"/>
      <c r="H4" s="81"/>
      <c r="I4" s="81"/>
    </row>
    <row r="5" spans="1:10" x14ac:dyDescent="0.3">
      <c r="A5" s="73"/>
      <c r="B5" s="73" t="s">
        <v>405</v>
      </c>
      <c r="C5" s="52" t="s">
        <v>406</v>
      </c>
      <c r="D5" s="49"/>
      <c r="E5" s="49"/>
      <c r="F5" s="49"/>
      <c r="G5" s="81"/>
      <c r="H5" s="81"/>
      <c r="I5" s="81"/>
    </row>
    <row r="6" spans="1:10" x14ac:dyDescent="0.3">
      <c r="A6" s="73" t="s">
        <v>407</v>
      </c>
      <c r="B6" s="73"/>
      <c r="C6" s="52"/>
      <c r="D6" s="49"/>
      <c r="E6" s="49"/>
      <c r="F6" s="49">
        <v>2</v>
      </c>
      <c r="G6" s="81"/>
      <c r="H6" s="81"/>
      <c r="I6" s="81"/>
    </row>
    <row r="7" spans="1:10" x14ac:dyDescent="0.3">
      <c r="A7" s="73"/>
      <c r="B7" s="73" t="s">
        <v>444</v>
      </c>
      <c r="C7" s="52"/>
      <c r="D7" s="49" t="s">
        <v>440</v>
      </c>
      <c r="E7" s="49"/>
      <c r="F7" s="49"/>
      <c r="G7" s="81"/>
      <c r="H7" s="81"/>
      <c r="I7" s="81"/>
    </row>
    <row r="8" spans="1:10" ht="66" x14ac:dyDescent="0.3">
      <c r="A8" s="73"/>
      <c r="B8" s="73" t="s">
        <v>414</v>
      </c>
      <c r="C8" s="52" t="s">
        <v>413</v>
      </c>
      <c r="D8" s="53"/>
      <c r="E8" s="49"/>
      <c r="F8" s="49"/>
      <c r="G8" s="81"/>
      <c r="H8" s="81"/>
      <c r="I8" s="81"/>
    </row>
    <row r="9" spans="1:10" x14ac:dyDescent="0.3">
      <c r="A9" s="73"/>
      <c r="B9" s="73" t="s">
        <v>415</v>
      </c>
      <c r="C9" s="52" t="s">
        <v>416</v>
      </c>
      <c r="D9" s="53"/>
      <c r="E9" s="49"/>
      <c r="F9" s="49"/>
      <c r="G9" s="81"/>
      <c r="H9" s="81"/>
      <c r="I9" s="81"/>
    </row>
    <row r="10" spans="1:10" ht="66" x14ac:dyDescent="0.3">
      <c r="A10" s="73"/>
      <c r="B10" s="73" t="s">
        <v>408</v>
      </c>
      <c r="C10" s="52" t="s">
        <v>492</v>
      </c>
      <c r="D10" s="53"/>
      <c r="E10" s="49"/>
      <c r="F10" s="49"/>
      <c r="G10" s="81"/>
      <c r="H10" s="81"/>
      <c r="I10" s="81"/>
    </row>
    <row r="11" spans="1:10" x14ac:dyDescent="0.3">
      <c r="A11" s="73" t="s">
        <v>494</v>
      </c>
      <c r="B11" s="73"/>
      <c r="C11" s="52"/>
      <c r="D11" s="49"/>
      <c r="E11" s="49"/>
      <c r="F11" s="49">
        <v>1</v>
      </c>
      <c r="G11" s="81">
        <v>1</v>
      </c>
      <c r="H11" s="81">
        <v>1</v>
      </c>
      <c r="I11" s="81">
        <v>1</v>
      </c>
    </row>
    <row r="12" spans="1:10" ht="33" x14ac:dyDescent="0.3">
      <c r="A12" s="73"/>
      <c r="B12" s="73" t="s">
        <v>418</v>
      </c>
      <c r="C12" s="52" t="s">
        <v>419</v>
      </c>
      <c r="D12" s="53"/>
      <c r="E12" s="49"/>
      <c r="F12" s="49"/>
      <c r="G12" s="81"/>
      <c r="H12" s="81"/>
      <c r="I12" s="81"/>
    </row>
    <row r="13" spans="1:10" ht="26.25" customHeight="1" x14ac:dyDescent="0.3">
      <c r="A13" s="73"/>
      <c r="B13" s="73" t="s">
        <v>493</v>
      </c>
      <c r="C13" s="52" t="s">
        <v>495</v>
      </c>
      <c r="D13" s="53" t="s">
        <v>442</v>
      </c>
      <c r="E13" s="49"/>
      <c r="F13" s="49"/>
      <c r="G13" s="81"/>
      <c r="H13" s="81"/>
      <c r="I13" s="81"/>
    </row>
    <row r="14" spans="1:10" ht="26.25" customHeight="1" x14ac:dyDescent="0.3">
      <c r="A14" s="73"/>
      <c r="B14" s="73" t="s">
        <v>420</v>
      </c>
      <c r="C14" s="52" t="s">
        <v>421</v>
      </c>
      <c r="D14" s="53" t="s">
        <v>442</v>
      </c>
      <c r="E14" s="49"/>
      <c r="F14" s="49"/>
      <c r="G14" s="81"/>
      <c r="H14" s="81"/>
      <c r="I14" s="81"/>
    </row>
    <row r="15" spans="1:10" x14ac:dyDescent="0.3">
      <c r="A15" s="73" t="s">
        <v>500</v>
      </c>
      <c r="B15" s="73"/>
      <c r="C15" s="52"/>
      <c r="D15" s="49"/>
      <c r="E15" s="49"/>
      <c r="F15" s="49"/>
      <c r="G15" s="81"/>
      <c r="H15" s="81"/>
      <c r="I15" s="81"/>
    </row>
    <row r="16" spans="1:10" ht="33" x14ac:dyDescent="0.3">
      <c r="A16" s="73"/>
      <c r="B16" s="73" t="s">
        <v>422</v>
      </c>
      <c r="C16" s="52" t="s">
        <v>499</v>
      </c>
      <c r="D16" s="53"/>
      <c r="E16" s="49"/>
      <c r="F16" s="49"/>
      <c r="G16" s="81">
        <v>1</v>
      </c>
      <c r="H16" s="81">
        <v>1</v>
      </c>
      <c r="I16" s="81"/>
    </row>
    <row r="17" spans="1:10" x14ac:dyDescent="0.3">
      <c r="A17" s="73"/>
      <c r="B17" s="73" t="s">
        <v>496</v>
      </c>
      <c r="C17" s="52" t="s">
        <v>497</v>
      </c>
      <c r="D17" s="53"/>
      <c r="E17" s="49"/>
      <c r="F17" s="49"/>
      <c r="G17" s="81">
        <v>1</v>
      </c>
      <c r="H17" s="81">
        <v>1</v>
      </c>
      <c r="I17" s="81">
        <v>1</v>
      </c>
    </row>
    <row r="18" spans="1:10" x14ac:dyDescent="0.3">
      <c r="A18" s="73"/>
      <c r="B18" s="65" t="s">
        <v>498</v>
      </c>
      <c r="C18" s="66" t="s">
        <v>426</v>
      </c>
      <c r="D18" s="67" t="s">
        <v>442</v>
      </c>
      <c r="E18" s="68"/>
      <c r="F18" s="68"/>
      <c r="G18" s="82"/>
      <c r="H18" s="82"/>
      <c r="I18" s="82"/>
      <c r="J18" s="79" t="s">
        <v>508</v>
      </c>
    </row>
    <row r="19" spans="1:10" x14ac:dyDescent="0.3">
      <c r="A19" s="73" t="s">
        <v>443</v>
      </c>
      <c r="B19" s="73"/>
      <c r="C19" s="52"/>
      <c r="D19" s="49"/>
      <c r="E19" s="49"/>
      <c r="F19" s="49"/>
      <c r="G19" s="81"/>
      <c r="H19" s="81"/>
      <c r="I19" s="81"/>
    </row>
    <row r="20" spans="1:10" ht="49.5" x14ac:dyDescent="0.3">
      <c r="A20" s="73"/>
      <c r="B20" s="73" t="s">
        <v>409</v>
      </c>
      <c r="C20" s="52" t="s">
        <v>410</v>
      </c>
      <c r="D20" s="53"/>
      <c r="E20" s="49"/>
      <c r="F20" s="49">
        <v>1</v>
      </c>
      <c r="G20" s="81"/>
      <c r="H20" s="81"/>
      <c r="I20" s="81"/>
    </row>
    <row r="21" spans="1:10" ht="33" x14ac:dyDescent="0.3">
      <c r="A21" s="73"/>
      <c r="B21" s="73" t="s">
        <v>423</v>
      </c>
      <c r="C21" s="52" t="s">
        <v>424</v>
      </c>
      <c r="D21" s="53"/>
      <c r="E21" s="49"/>
      <c r="F21" s="49"/>
      <c r="G21" s="81">
        <v>1</v>
      </c>
      <c r="H21" s="81">
        <v>1</v>
      </c>
      <c r="I21" s="81">
        <v>1</v>
      </c>
    </row>
    <row r="22" spans="1:10" x14ac:dyDescent="0.3">
      <c r="A22" s="73"/>
      <c r="B22" s="65" t="s">
        <v>425</v>
      </c>
      <c r="C22" s="66" t="s">
        <v>426</v>
      </c>
      <c r="D22" s="67" t="s">
        <v>442</v>
      </c>
      <c r="E22" s="68"/>
      <c r="F22" s="68"/>
      <c r="G22" s="82"/>
      <c r="H22" s="82"/>
      <c r="I22" s="82"/>
      <c r="J22" s="79" t="s">
        <v>508</v>
      </c>
    </row>
    <row r="23" spans="1:10" x14ac:dyDescent="0.3">
      <c r="A23" s="74" t="s">
        <v>439</v>
      </c>
      <c r="B23" s="75"/>
      <c r="C23" s="77"/>
      <c r="D23" s="75"/>
      <c r="E23" s="72">
        <f t="shared" ref="E23:F23" si="0">SUM(E3:E21)</f>
        <v>2</v>
      </c>
      <c r="F23" s="72">
        <f t="shared" si="0"/>
        <v>4</v>
      </c>
      <c r="G23" s="72">
        <f>SUM(G3:G22)</f>
        <v>4</v>
      </c>
      <c r="H23" s="72">
        <f>SUM(H3:H22)</f>
        <v>4</v>
      </c>
      <c r="I23" s="72">
        <f>SUM(I3:I22)</f>
        <v>3</v>
      </c>
      <c r="J23" s="51">
        <f>SUM(E23:I23)</f>
        <v>17</v>
      </c>
    </row>
    <row r="25" spans="1:10" x14ac:dyDescent="0.3">
      <c r="C25" s="51" t="s">
        <v>501</v>
      </c>
      <c r="D25" s="80">
        <f>1687+5809+7451</f>
        <v>14947</v>
      </c>
    </row>
    <row r="26" spans="1:10" x14ac:dyDescent="0.3">
      <c r="C26" s="78" t="s">
        <v>502</v>
      </c>
      <c r="D26" s="80">
        <v>8404</v>
      </c>
    </row>
    <row r="27" spans="1:10" x14ac:dyDescent="0.3">
      <c r="D27" s="80"/>
    </row>
    <row r="28" spans="1:10" x14ac:dyDescent="0.3">
      <c r="C28" s="78" t="s">
        <v>503</v>
      </c>
      <c r="D28" s="80">
        <f>6544+613+1421</f>
        <v>8578</v>
      </c>
    </row>
    <row r="29" spans="1:10" x14ac:dyDescent="0.3">
      <c r="C29" s="78" t="s">
        <v>504</v>
      </c>
      <c r="D29" s="80">
        <v>5511</v>
      </c>
    </row>
    <row r="30" spans="1:10" x14ac:dyDescent="0.3">
      <c r="D30" s="80"/>
    </row>
    <row r="31" spans="1:10" x14ac:dyDescent="0.3">
      <c r="C31" s="78" t="s">
        <v>505</v>
      </c>
      <c r="D31" s="80">
        <f>31438+32761</f>
        <v>64199</v>
      </c>
    </row>
    <row r="32" spans="1:10" x14ac:dyDescent="0.3">
      <c r="C32" s="78" t="s">
        <v>506</v>
      </c>
      <c r="D32" s="80">
        <f>20244+30315</f>
        <v>50559</v>
      </c>
    </row>
    <row r="34" spans="3:3" x14ac:dyDescent="0.3">
      <c r="C34" s="78" t="s">
        <v>507</v>
      </c>
    </row>
  </sheetData>
  <mergeCells count="7">
    <mergeCell ref="J1:J2"/>
    <mergeCell ref="A1:A2"/>
    <mergeCell ref="B1:B2"/>
    <mergeCell ref="C1:C2"/>
    <mergeCell ref="D1:D2"/>
    <mergeCell ref="E1:F1"/>
    <mergeCell ref="G1:I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F15" sqref="F15"/>
    </sheetView>
  </sheetViews>
  <sheetFormatPr defaultRowHeight="16.5" x14ac:dyDescent="0.3"/>
  <cols>
    <col min="1" max="1" width="19.125" customWidth="1"/>
    <col min="2" max="2" width="24.75" customWidth="1"/>
    <col min="3" max="3" width="60.375" customWidth="1"/>
    <col min="4" max="4" width="11.875" customWidth="1"/>
    <col min="5" max="10" width="6.375" customWidth="1"/>
  </cols>
  <sheetData>
    <row r="1" spans="1:10" x14ac:dyDescent="0.3">
      <c r="A1" s="62" t="s">
        <v>436</v>
      </c>
      <c r="B1" s="62" t="s">
        <v>437</v>
      </c>
      <c r="C1" s="62" t="s">
        <v>438</v>
      </c>
      <c r="D1" s="63" t="s">
        <v>441</v>
      </c>
      <c r="E1" s="62" t="s">
        <v>435</v>
      </c>
      <c r="F1" s="62"/>
      <c r="G1" s="62" t="s">
        <v>434</v>
      </c>
      <c r="H1" s="62"/>
      <c r="I1" s="62"/>
      <c r="J1" s="62"/>
    </row>
    <row r="2" spans="1:10" ht="20.25" customHeight="1" x14ac:dyDescent="0.3">
      <c r="A2" s="62"/>
      <c r="B2" s="62"/>
      <c r="C2" s="62"/>
      <c r="D2" s="64"/>
      <c r="E2" s="47" t="s">
        <v>428</v>
      </c>
      <c r="F2" s="47" t="s">
        <v>429</v>
      </c>
      <c r="G2" s="47" t="s">
        <v>430</v>
      </c>
      <c r="H2" s="47" t="s">
        <v>431</v>
      </c>
      <c r="I2" s="47" t="s">
        <v>432</v>
      </c>
      <c r="J2" s="47" t="s">
        <v>433</v>
      </c>
    </row>
    <row r="3" spans="1:10" x14ac:dyDescent="0.3">
      <c r="A3" s="42" t="s">
        <v>403</v>
      </c>
      <c r="B3" s="42"/>
      <c r="C3" s="42"/>
      <c r="D3" s="40"/>
      <c r="E3" s="40">
        <v>1</v>
      </c>
      <c r="F3" s="40"/>
      <c r="G3" s="41"/>
      <c r="H3" s="41"/>
      <c r="I3" s="41"/>
      <c r="J3" s="41"/>
    </row>
    <row r="4" spans="1:10" x14ac:dyDescent="0.3">
      <c r="A4" s="42"/>
      <c r="B4" s="42" t="s">
        <v>404</v>
      </c>
      <c r="C4" s="42" t="s">
        <v>412</v>
      </c>
      <c r="D4" s="40"/>
      <c r="E4" s="40"/>
      <c r="F4" s="40"/>
      <c r="G4" s="41"/>
      <c r="H4" s="41"/>
      <c r="I4" s="41"/>
      <c r="J4" s="41"/>
    </row>
    <row r="5" spans="1:10" x14ac:dyDescent="0.3">
      <c r="A5" s="42"/>
      <c r="B5" s="42" t="s">
        <v>405</v>
      </c>
      <c r="C5" s="42" t="s">
        <v>406</v>
      </c>
      <c r="D5" s="40"/>
      <c r="E5" s="40"/>
      <c r="F5" s="40"/>
      <c r="G5" s="41"/>
      <c r="H5" s="41"/>
      <c r="I5" s="41"/>
      <c r="J5" s="41"/>
    </row>
    <row r="6" spans="1:10" x14ac:dyDescent="0.3">
      <c r="A6" s="42" t="s">
        <v>407</v>
      </c>
      <c r="B6" s="42"/>
      <c r="C6" s="42"/>
      <c r="D6" s="40"/>
      <c r="E6" s="40"/>
      <c r="F6" s="40">
        <v>1</v>
      </c>
      <c r="G6" s="41"/>
      <c r="H6" s="41"/>
      <c r="I6" s="41"/>
      <c r="J6" s="41"/>
    </row>
    <row r="7" spans="1:10" s="51" customFormat="1" x14ac:dyDescent="0.3">
      <c r="A7" s="48"/>
      <c r="B7" s="48" t="s">
        <v>444</v>
      </c>
      <c r="C7" s="48"/>
      <c r="D7" s="49" t="s">
        <v>440</v>
      </c>
      <c r="E7" s="49"/>
      <c r="F7" s="49"/>
      <c r="G7" s="50"/>
      <c r="H7" s="50"/>
      <c r="I7" s="50"/>
      <c r="J7" s="50"/>
    </row>
    <row r="8" spans="1:10" s="51" customFormat="1" ht="66" x14ac:dyDescent="0.3">
      <c r="A8" s="48"/>
      <c r="B8" s="48" t="s">
        <v>414</v>
      </c>
      <c r="C8" s="52" t="s">
        <v>413</v>
      </c>
      <c r="D8" s="53"/>
      <c r="E8" s="49"/>
      <c r="F8" s="49"/>
      <c r="G8" s="50"/>
      <c r="H8" s="50"/>
      <c r="I8" s="50"/>
      <c r="J8" s="50"/>
    </row>
    <row r="9" spans="1:10" x14ac:dyDescent="0.3">
      <c r="A9" s="42"/>
      <c r="B9" s="42" t="s">
        <v>415</v>
      </c>
      <c r="C9" s="43" t="s">
        <v>416</v>
      </c>
      <c r="D9" s="44"/>
      <c r="E9" s="40"/>
      <c r="F9" s="40"/>
      <c r="G9" s="41"/>
      <c r="H9" s="41"/>
      <c r="I9" s="41"/>
      <c r="J9" s="41"/>
    </row>
    <row r="10" spans="1:10" ht="49.5" x14ac:dyDescent="0.3">
      <c r="A10" s="42"/>
      <c r="B10" s="42" t="s">
        <v>408</v>
      </c>
      <c r="C10" s="43" t="s">
        <v>411</v>
      </c>
      <c r="D10" s="44"/>
      <c r="E10" s="40"/>
      <c r="F10" s="40"/>
      <c r="G10" s="41"/>
      <c r="H10" s="41"/>
      <c r="I10" s="41"/>
      <c r="J10" s="41"/>
    </row>
    <row r="11" spans="1:10" x14ac:dyDescent="0.3">
      <c r="A11" s="42" t="s">
        <v>417</v>
      </c>
      <c r="B11" s="42"/>
      <c r="C11" s="42"/>
      <c r="D11" s="40"/>
      <c r="E11" s="40"/>
      <c r="F11" s="40">
        <v>1</v>
      </c>
      <c r="G11" s="41">
        <v>1</v>
      </c>
      <c r="H11" s="41">
        <v>1</v>
      </c>
      <c r="I11" s="41">
        <v>1</v>
      </c>
      <c r="J11" s="41"/>
    </row>
    <row r="12" spans="1:10" ht="33" x14ac:dyDescent="0.3">
      <c r="A12" s="42"/>
      <c r="B12" s="42" t="s">
        <v>418</v>
      </c>
      <c r="C12" s="43" t="s">
        <v>419</v>
      </c>
      <c r="D12" s="44"/>
      <c r="E12" s="40"/>
      <c r="F12" s="40"/>
      <c r="G12" s="41"/>
      <c r="H12" s="41"/>
      <c r="I12" s="41"/>
      <c r="J12" s="41"/>
    </row>
    <row r="13" spans="1:10" ht="26.25" customHeight="1" x14ac:dyDescent="0.3">
      <c r="A13" s="42"/>
      <c r="B13" s="42" t="s">
        <v>420</v>
      </c>
      <c r="C13" s="43" t="s">
        <v>421</v>
      </c>
      <c r="D13" s="44" t="s">
        <v>442</v>
      </c>
      <c r="E13" s="40"/>
      <c r="F13" s="40"/>
      <c r="G13" s="41"/>
      <c r="H13" s="41"/>
      <c r="I13" s="41"/>
      <c r="J13" s="41"/>
    </row>
    <row r="14" spans="1:10" x14ac:dyDescent="0.3">
      <c r="A14" s="42" t="s">
        <v>491</v>
      </c>
      <c r="B14" s="42"/>
      <c r="C14" s="42"/>
      <c r="D14" s="40"/>
      <c r="E14" s="40"/>
      <c r="F14" s="40"/>
      <c r="G14" s="41"/>
      <c r="H14" s="41"/>
      <c r="I14" s="41"/>
      <c r="J14" s="41"/>
    </row>
    <row r="15" spans="1:10" ht="33" x14ac:dyDescent="0.3">
      <c r="A15" s="42"/>
      <c r="B15" s="42" t="s">
        <v>422</v>
      </c>
      <c r="C15" s="43" t="s">
        <v>427</v>
      </c>
      <c r="D15" s="44"/>
      <c r="E15" s="40"/>
      <c r="F15" s="40"/>
      <c r="G15" s="41">
        <v>1</v>
      </c>
      <c r="H15" s="41">
        <v>1</v>
      </c>
      <c r="I15" s="41">
        <v>1</v>
      </c>
      <c r="J15" s="41">
        <v>1</v>
      </c>
    </row>
    <row r="16" spans="1:10" x14ac:dyDescent="0.3">
      <c r="A16" s="42"/>
      <c r="B16" s="42" t="s">
        <v>425</v>
      </c>
      <c r="C16" s="43" t="s">
        <v>426</v>
      </c>
      <c r="D16" s="44" t="s">
        <v>442</v>
      </c>
      <c r="E16" s="40"/>
      <c r="F16" s="40"/>
      <c r="G16" s="41"/>
      <c r="H16" s="41"/>
      <c r="I16" s="41"/>
      <c r="J16" s="41"/>
    </row>
    <row r="17" spans="1:10" x14ac:dyDescent="0.3">
      <c r="A17" s="42" t="s">
        <v>443</v>
      </c>
      <c r="B17" s="42"/>
      <c r="C17" s="42"/>
      <c r="D17" s="40"/>
      <c r="E17" s="40"/>
      <c r="F17" s="40">
        <v>1</v>
      </c>
      <c r="G17" s="41">
        <v>2</v>
      </c>
      <c r="H17" s="41">
        <v>2</v>
      </c>
      <c r="I17" s="41">
        <v>2</v>
      </c>
      <c r="J17" s="41">
        <v>2</v>
      </c>
    </row>
    <row r="18" spans="1:10" ht="49.5" x14ac:dyDescent="0.3">
      <c r="A18" s="42"/>
      <c r="B18" s="42" t="s">
        <v>409</v>
      </c>
      <c r="C18" s="43" t="s">
        <v>410</v>
      </c>
      <c r="D18" s="44"/>
      <c r="E18" s="40"/>
      <c r="F18" s="40"/>
      <c r="G18" s="41"/>
      <c r="H18" s="41"/>
      <c r="I18" s="41"/>
      <c r="J18" s="41"/>
    </row>
    <row r="19" spans="1:10" x14ac:dyDescent="0.3">
      <c r="A19" s="42"/>
      <c r="B19" s="42" t="s">
        <v>423</v>
      </c>
      <c r="C19" s="43" t="s">
        <v>424</v>
      </c>
      <c r="D19" s="44"/>
      <c r="E19" s="40"/>
      <c r="F19" s="40"/>
      <c r="G19" s="41"/>
      <c r="H19" s="41"/>
      <c r="I19" s="41"/>
      <c r="J19" s="41"/>
    </row>
    <row r="20" spans="1:10" x14ac:dyDescent="0.3">
      <c r="A20" s="42"/>
      <c r="B20" s="42" t="s">
        <v>425</v>
      </c>
      <c r="C20" s="43" t="s">
        <v>426</v>
      </c>
      <c r="D20" s="44" t="s">
        <v>442</v>
      </c>
      <c r="E20" s="40"/>
      <c r="F20" s="40"/>
      <c r="G20" s="41"/>
      <c r="H20" s="41"/>
      <c r="I20" s="41"/>
      <c r="J20" s="41"/>
    </row>
    <row r="21" spans="1:10" x14ac:dyDescent="0.3">
      <c r="A21" s="46" t="s">
        <v>439</v>
      </c>
      <c r="B21" s="45"/>
      <c r="C21" s="45"/>
      <c r="D21" s="45"/>
      <c r="E21" s="47">
        <f t="shared" ref="E21:J21" si="0">SUM(E3:E19)</f>
        <v>1</v>
      </c>
      <c r="F21" s="47">
        <f t="shared" si="0"/>
        <v>3</v>
      </c>
      <c r="G21" s="47">
        <f t="shared" si="0"/>
        <v>4</v>
      </c>
      <c r="H21" s="47">
        <f t="shared" si="0"/>
        <v>4</v>
      </c>
      <c r="I21" s="47">
        <f t="shared" si="0"/>
        <v>4</v>
      </c>
      <c r="J21" s="47">
        <f t="shared" si="0"/>
        <v>3</v>
      </c>
    </row>
  </sheetData>
  <mergeCells count="6">
    <mergeCell ref="G1:J1"/>
    <mergeCell ref="E1:F1"/>
    <mergeCell ref="A1:A2"/>
    <mergeCell ref="B1:B2"/>
    <mergeCell ref="C1:C2"/>
    <mergeCell ref="D1:D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activeCell="L24" sqref="L24"/>
    </sheetView>
  </sheetViews>
  <sheetFormatPr defaultRowHeight="16.5" x14ac:dyDescent="0.3"/>
  <cols>
    <col min="1" max="1" width="8.5" style="55" customWidth="1"/>
    <col min="2" max="3" width="10.875" customWidth="1"/>
    <col min="4" max="4" width="9.5" customWidth="1"/>
    <col min="5" max="5" width="11.75" customWidth="1"/>
    <col min="6" max="6" width="10.25" customWidth="1"/>
    <col min="7" max="7" width="11.875" customWidth="1"/>
    <col min="8" max="9" width="11.5" customWidth="1"/>
    <col min="10" max="10" width="13" customWidth="1"/>
    <col min="11" max="11" width="10.875" customWidth="1"/>
    <col min="12" max="12" width="12.125" customWidth="1"/>
    <col min="13" max="13" width="11.375" customWidth="1"/>
  </cols>
  <sheetData>
    <row r="1" spans="1:13" ht="51.75" customHeight="1" x14ac:dyDescent="0.3">
      <c r="E1" s="61" t="s">
        <v>490</v>
      </c>
    </row>
    <row r="2" spans="1:13" x14ac:dyDescent="0.3">
      <c r="A2" s="56" t="s">
        <v>445</v>
      </c>
      <c r="B2" s="56" t="s">
        <v>446</v>
      </c>
      <c r="C2" s="56" t="s">
        <v>474</v>
      </c>
      <c r="D2" s="56" t="s">
        <v>454</v>
      </c>
      <c r="E2" s="56" t="s">
        <v>447</v>
      </c>
      <c r="F2" s="56" t="s">
        <v>448</v>
      </c>
      <c r="G2" s="56" t="s">
        <v>450</v>
      </c>
      <c r="H2" s="56" t="s">
        <v>449</v>
      </c>
      <c r="I2" s="56" t="s">
        <v>478</v>
      </c>
      <c r="J2" s="56" t="s">
        <v>451</v>
      </c>
      <c r="K2" s="56" t="s">
        <v>452</v>
      </c>
      <c r="L2" s="56" t="s">
        <v>453</v>
      </c>
      <c r="M2" s="56" t="s">
        <v>473</v>
      </c>
    </row>
    <row r="3" spans="1:13" x14ac:dyDescent="0.3">
      <c r="A3" s="57" t="s">
        <v>455</v>
      </c>
      <c r="B3" s="58" t="s">
        <v>456</v>
      </c>
      <c r="C3" s="58" t="s">
        <v>475</v>
      </c>
      <c r="D3" s="58" t="s">
        <v>457</v>
      </c>
      <c r="E3" s="59">
        <v>46082</v>
      </c>
      <c r="F3" s="57"/>
      <c r="G3" s="59">
        <v>46084</v>
      </c>
      <c r="H3" s="59">
        <v>46084</v>
      </c>
      <c r="I3" s="59" t="s">
        <v>479</v>
      </c>
      <c r="J3" s="59">
        <v>46085</v>
      </c>
      <c r="K3" s="57" t="s">
        <v>458</v>
      </c>
      <c r="L3" s="59">
        <v>46086</v>
      </c>
      <c r="M3" s="58" t="s">
        <v>470</v>
      </c>
    </row>
    <row r="4" spans="1:13" x14ac:dyDescent="0.3">
      <c r="A4" s="57"/>
      <c r="B4" s="58"/>
      <c r="C4" s="58"/>
      <c r="D4" s="58"/>
      <c r="E4" s="59"/>
      <c r="F4" s="57"/>
      <c r="G4" s="59"/>
      <c r="H4" s="59"/>
      <c r="I4" s="59"/>
      <c r="J4" s="59"/>
      <c r="K4" s="57" t="s">
        <v>459</v>
      </c>
      <c r="L4" s="59"/>
      <c r="M4" s="58"/>
    </row>
    <row r="5" spans="1:13" x14ac:dyDescent="0.3">
      <c r="A5" s="57"/>
      <c r="B5" s="58"/>
      <c r="C5" s="58"/>
      <c r="D5" s="58"/>
      <c r="E5" s="59"/>
      <c r="F5" s="57"/>
      <c r="G5" s="59"/>
      <c r="H5" s="59"/>
      <c r="I5" s="59"/>
      <c r="J5" s="59"/>
      <c r="K5" s="57" t="s">
        <v>460</v>
      </c>
      <c r="L5" s="59"/>
      <c r="M5" s="58"/>
    </row>
    <row r="6" spans="1:13" x14ac:dyDescent="0.3">
      <c r="A6" s="57"/>
      <c r="B6" s="58"/>
      <c r="C6" s="58"/>
      <c r="D6" s="58"/>
      <c r="E6" s="59"/>
      <c r="F6" s="57"/>
      <c r="G6" s="59"/>
      <c r="H6" s="59"/>
      <c r="I6" s="59"/>
      <c r="J6" s="59"/>
      <c r="K6" s="57" t="s">
        <v>461</v>
      </c>
      <c r="L6" s="59">
        <v>46086</v>
      </c>
      <c r="M6" s="58" t="s">
        <v>465</v>
      </c>
    </row>
    <row r="7" spans="1:13" x14ac:dyDescent="0.3">
      <c r="A7" s="57"/>
      <c r="B7" s="58"/>
      <c r="C7" s="58"/>
      <c r="D7" s="58"/>
      <c r="E7" s="59">
        <v>46091</v>
      </c>
      <c r="F7" s="57"/>
      <c r="G7" s="59">
        <v>46092</v>
      </c>
      <c r="H7" s="59">
        <v>46092</v>
      </c>
      <c r="I7" s="59" t="s">
        <v>479</v>
      </c>
      <c r="J7" s="59"/>
      <c r="K7" s="57" t="s">
        <v>458</v>
      </c>
      <c r="L7" s="59"/>
      <c r="M7" s="58"/>
    </row>
    <row r="8" spans="1:13" x14ac:dyDescent="0.3">
      <c r="A8" s="57"/>
      <c r="B8" s="58"/>
      <c r="C8" s="58"/>
      <c r="D8" s="58"/>
      <c r="E8" s="59"/>
      <c r="F8" s="57"/>
      <c r="G8" s="59"/>
      <c r="H8" s="59"/>
      <c r="I8" s="59"/>
      <c r="J8" s="59"/>
      <c r="K8" s="57" t="s">
        <v>459</v>
      </c>
      <c r="L8" s="59"/>
      <c r="M8" s="58"/>
    </row>
    <row r="9" spans="1:13" x14ac:dyDescent="0.3">
      <c r="A9" s="57"/>
      <c r="B9" s="58"/>
      <c r="C9" s="58"/>
      <c r="D9" s="58"/>
      <c r="E9" s="59"/>
      <c r="F9" s="57"/>
      <c r="G9" s="59"/>
      <c r="H9" s="59"/>
      <c r="I9" s="59"/>
      <c r="J9" s="59"/>
      <c r="K9" s="57" t="s">
        <v>460</v>
      </c>
      <c r="L9" s="59"/>
      <c r="M9" s="58"/>
    </row>
    <row r="10" spans="1:13" x14ac:dyDescent="0.3">
      <c r="A10" s="57"/>
      <c r="B10" s="58"/>
      <c r="C10" s="58"/>
      <c r="D10" s="58"/>
      <c r="E10" s="59"/>
      <c r="F10" s="57"/>
      <c r="G10" s="59"/>
      <c r="H10" s="59"/>
      <c r="I10" s="59"/>
      <c r="J10" s="59"/>
      <c r="K10" s="57" t="s">
        <v>461</v>
      </c>
      <c r="L10" s="59"/>
      <c r="M10" s="58" t="s">
        <v>466</v>
      </c>
    </row>
    <row r="11" spans="1:13" x14ac:dyDescent="0.3">
      <c r="A11" s="57" t="s">
        <v>455</v>
      </c>
      <c r="B11" s="58" t="s">
        <v>462</v>
      </c>
      <c r="C11" s="58" t="s">
        <v>476</v>
      </c>
      <c r="D11" s="58"/>
      <c r="E11" s="59">
        <v>46082</v>
      </c>
      <c r="F11" s="57"/>
      <c r="G11" s="59">
        <v>46084</v>
      </c>
      <c r="H11" s="59">
        <v>46084</v>
      </c>
      <c r="I11" s="59" t="s">
        <v>480</v>
      </c>
      <c r="J11" s="59">
        <v>46085</v>
      </c>
      <c r="K11" s="57" t="s">
        <v>458</v>
      </c>
      <c r="L11" s="59">
        <v>46086</v>
      </c>
      <c r="M11" s="58" t="s">
        <v>471</v>
      </c>
    </row>
    <row r="12" spans="1:13" x14ac:dyDescent="0.3">
      <c r="A12" s="57"/>
      <c r="B12" s="58"/>
      <c r="C12" s="58"/>
      <c r="D12" s="58"/>
      <c r="E12" s="59"/>
      <c r="F12" s="57"/>
      <c r="G12" s="59"/>
      <c r="H12" s="59"/>
      <c r="I12" s="59"/>
      <c r="J12" s="59"/>
      <c r="K12" s="57" t="s">
        <v>459</v>
      </c>
      <c r="L12" s="59"/>
      <c r="M12" s="58"/>
    </row>
    <row r="13" spans="1:13" x14ac:dyDescent="0.3">
      <c r="A13" s="57"/>
      <c r="B13" s="58"/>
      <c r="C13" s="58"/>
      <c r="D13" s="58"/>
      <c r="E13" s="59"/>
      <c r="F13" s="57"/>
      <c r="G13" s="59"/>
      <c r="H13" s="59"/>
      <c r="I13" s="59"/>
      <c r="J13" s="59"/>
      <c r="K13" s="57" t="s">
        <v>461</v>
      </c>
      <c r="L13" s="59">
        <v>46086</v>
      </c>
      <c r="M13" s="58" t="s">
        <v>467</v>
      </c>
    </row>
    <row r="14" spans="1:13" x14ac:dyDescent="0.3">
      <c r="A14" s="57"/>
      <c r="B14" s="58"/>
      <c r="C14" s="58"/>
      <c r="D14" s="58"/>
      <c r="E14" s="59">
        <v>46091</v>
      </c>
      <c r="F14" s="57"/>
      <c r="G14" s="59">
        <v>46092</v>
      </c>
      <c r="H14" s="59">
        <v>46092</v>
      </c>
      <c r="I14" s="59" t="s">
        <v>480</v>
      </c>
      <c r="J14" s="59"/>
      <c r="K14" s="57" t="s">
        <v>458</v>
      </c>
      <c r="L14" s="59"/>
      <c r="M14" s="58"/>
    </row>
    <row r="15" spans="1:13" x14ac:dyDescent="0.3">
      <c r="A15" s="57"/>
      <c r="B15" s="58"/>
      <c r="C15" s="58"/>
      <c r="D15" s="58"/>
      <c r="E15" s="59"/>
      <c r="F15" s="57"/>
      <c r="G15" s="59"/>
      <c r="H15" s="59"/>
      <c r="I15" s="59"/>
      <c r="J15" s="59"/>
      <c r="K15" s="57" t="s">
        <v>459</v>
      </c>
      <c r="L15" s="59"/>
      <c r="M15" s="58"/>
    </row>
    <row r="16" spans="1:13" x14ac:dyDescent="0.3">
      <c r="A16" s="57"/>
      <c r="B16" s="58"/>
      <c r="C16" s="58"/>
      <c r="D16" s="58"/>
      <c r="E16" s="59"/>
      <c r="F16" s="57"/>
      <c r="G16" s="59"/>
      <c r="H16" s="59"/>
      <c r="I16" s="59"/>
      <c r="J16" s="59"/>
      <c r="K16" s="57" t="s">
        <v>460</v>
      </c>
      <c r="L16" s="59"/>
      <c r="M16" s="58"/>
    </row>
    <row r="17" spans="1:13" x14ac:dyDescent="0.3">
      <c r="A17" s="57"/>
      <c r="B17" s="58"/>
      <c r="C17" s="58"/>
      <c r="D17" s="58"/>
      <c r="E17" s="59"/>
      <c r="F17" s="57"/>
      <c r="G17" s="59"/>
      <c r="H17" s="59"/>
      <c r="I17" s="59"/>
      <c r="J17" s="59"/>
      <c r="K17" s="57" t="s">
        <v>461</v>
      </c>
      <c r="L17" s="59"/>
      <c r="M17" s="58" t="s">
        <v>468</v>
      </c>
    </row>
    <row r="18" spans="1:13" x14ac:dyDescent="0.3">
      <c r="A18" s="57" t="s">
        <v>455</v>
      </c>
      <c r="B18" s="60" t="s">
        <v>463</v>
      </c>
      <c r="C18" s="58" t="s">
        <v>477</v>
      </c>
      <c r="D18" s="58" t="s">
        <v>469</v>
      </c>
      <c r="E18" s="59">
        <v>46082</v>
      </c>
      <c r="F18" s="57"/>
      <c r="G18" s="59">
        <v>46084</v>
      </c>
      <c r="H18" s="59">
        <v>46084</v>
      </c>
      <c r="I18" s="59" t="s">
        <v>481</v>
      </c>
      <c r="J18" s="59">
        <v>46085</v>
      </c>
      <c r="K18" s="57" t="s">
        <v>489</v>
      </c>
      <c r="L18" s="59">
        <v>46086</v>
      </c>
      <c r="M18" s="58" t="s">
        <v>472</v>
      </c>
    </row>
    <row r="19" spans="1:13" x14ac:dyDescent="0.3">
      <c r="A19" s="57"/>
      <c r="B19" s="58"/>
      <c r="C19" s="58"/>
      <c r="D19" s="58"/>
      <c r="E19" s="59">
        <v>46090</v>
      </c>
      <c r="F19" s="57" t="s">
        <v>464</v>
      </c>
      <c r="G19" s="59"/>
      <c r="H19" s="59"/>
      <c r="I19" s="59"/>
      <c r="J19" s="59"/>
      <c r="K19" s="57"/>
      <c r="L19" s="59"/>
      <c r="M19" s="58"/>
    </row>
    <row r="20" spans="1:13" x14ac:dyDescent="0.3">
      <c r="A20" s="57" t="s">
        <v>482</v>
      </c>
      <c r="B20" s="58" t="s">
        <v>483</v>
      </c>
      <c r="C20" s="58" t="s">
        <v>484</v>
      </c>
      <c r="D20" s="58" t="s">
        <v>485</v>
      </c>
      <c r="E20" s="59">
        <v>46083</v>
      </c>
      <c r="F20" s="57"/>
      <c r="G20" s="59">
        <v>46092</v>
      </c>
      <c r="H20" s="59">
        <v>46092</v>
      </c>
      <c r="I20" s="59" t="s">
        <v>486</v>
      </c>
      <c r="J20" s="59">
        <v>46092</v>
      </c>
      <c r="K20" s="57" t="s">
        <v>487</v>
      </c>
      <c r="L20" s="59">
        <v>46092</v>
      </c>
      <c r="M20" s="58" t="s">
        <v>488</v>
      </c>
    </row>
    <row r="21" spans="1:13" x14ac:dyDescent="0.3">
      <c r="A21" s="57"/>
      <c r="B21" s="58"/>
      <c r="C21" s="58"/>
      <c r="D21" s="58"/>
      <c r="E21" s="59"/>
      <c r="F21" s="57"/>
      <c r="G21" s="59"/>
      <c r="H21" s="59"/>
      <c r="I21" s="59"/>
      <c r="J21" s="59"/>
      <c r="K21" s="57"/>
      <c r="L21" s="59"/>
      <c r="M21" s="58"/>
    </row>
    <row r="22" spans="1:13" x14ac:dyDescent="0.3">
      <c r="A22" s="57"/>
      <c r="B22" s="58"/>
      <c r="C22" s="58"/>
      <c r="D22" s="58"/>
      <c r="E22" s="59"/>
      <c r="F22" s="57"/>
      <c r="G22" s="59"/>
      <c r="H22" s="59"/>
      <c r="I22" s="59"/>
      <c r="J22" s="59"/>
      <c r="K22" s="57"/>
      <c r="L22" s="59"/>
      <c r="M22" s="58"/>
    </row>
    <row r="23" spans="1:13" x14ac:dyDescent="0.3">
      <c r="A23" s="57"/>
      <c r="B23" s="58"/>
      <c r="C23" s="58"/>
      <c r="D23" s="58"/>
      <c r="E23" s="59"/>
      <c r="F23" s="57"/>
      <c r="G23" s="59"/>
      <c r="H23" s="59"/>
      <c r="I23" s="59"/>
      <c r="J23" s="59"/>
      <c r="K23" s="57"/>
      <c r="L23" s="59"/>
      <c r="M23" s="58"/>
    </row>
    <row r="24" spans="1:13" x14ac:dyDescent="0.3">
      <c r="A24" s="57"/>
      <c r="B24" s="58"/>
      <c r="C24" s="58"/>
      <c r="D24" s="58"/>
      <c r="E24" s="59"/>
      <c r="F24" s="57"/>
      <c r="G24" s="59"/>
      <c r="H24" s="59"/>
      <c r="I24" s="59"/>
      <c r="J24" s="59"/>
      <c r="K24" s="57"/>
      <c r="L24" s="59"/>
      <c r="M24" s="58"/>
    </row>
    <row r="25" spans="1:13" x14ac:dyDescent="0.3">
      <c r="A25" s="57"/>
      <c r="B25" s="58"/>
      <c r="C25" s="58"/>
      <c r="D25" s="58"/>
      <c r="E25" s="59"/>
      <c r="F25" s="57"/>
      <c r="G25" s="59"/>
      <c r="H25" s="59"/>
      <c r="I25" s="59"/>
      <c r="J25" s="59"/>
      <c r="K25" s="57"/>
      <c r="L25" s="59"/>
      <c r="M25" s="58"/>
    </row>
    <row r="26" spans="1:13" x14ac:dyDescent="0.3">
      <c r="A26" s="57"/>
      <c r="B26" s="58"/>
      <c r="C26" s="58"/>
      <c r="D26" s="58"/>
      <c r="E26" s="59"/>
      <c r="F26" s="57"/>
      <c r="G26" s="59"/>
      <c r="H26" s="59"/>
      <c r="I26" s="59"/>
      <c r="J26" s="59"/>
      <c r="K26" s="57"/>
      <c r="L26" s="59"/>
      <c r="M26" s="58"/>
    </row>
    <row r="27" spans="1:13" x14ac:dyDescent="0.3">
      <c r="A27" s="57"/>
      <c r="B27" s="58"/>
      <c r="C27" s="58"/>
      <c r="D27" s="58"/>
      <c r="E27" s="59"/>
      <c r="F27" s="57"/>
      <c r="G27" s="59"/>
      <c r="H27" s="59"/>
      <c r="I27" s="59"/>
      <c r="J27" s="59"/>
      <c r="K27" s="57"/>
      <c r="L27" s="59"/>
      <c r="M27" s="58"/>
    </row>
    <row r="28" spans="1:13" x14ac:dyDescent="0.3">
      <c r="A28" s="57"/>
      <c r="B28" s="58"/>
      <c r="C28" s="58"/>
      <c r="D28" s="58"/>
      <c r="E28" s="59"/>
      <c r="F28" s="57"/>
      <c r="G28" s="59"/>
      <c r="H28" s="59"/>
      <c r="I28" s="59"/>
      <c r="J28" s="59"/>
      <c r="K28" s="57"/>
      <c r="L28" s="59"/>
      <c r="M28" s="58"/>
    </row>
    <row r="29" spans="1:13" x14ac:dyDescent="0.3">
      <c r="A29" s="57"/>
      <c r="B29" s="58"/>
      <c r="C29" s="58"/>
      <c r="D29" s="58"/>
      <c r="E29" s="59"/>
      <c r="F29" s="57"/>
      <c r="G29" s="59"/>
      <c r="H29" s="59"/>
      <c r="I29" s="59"/>
      <c r="J29" s="59"/>
      <c r="K29" s="57"/>
      <c r="L29" s="59"/>
      <c r="M29" s="58"/>
    </row>
    <row r="30" spans="1:13" x14ac:dyDescent="0.3">
      <c r="E30" s="54"/>
      <c r="F30" s="55"/>
      <c r="G30" s="54"/>
      <c r="H30" s="54"/>
      <c r="I30" s="54"/>
      <c r="J30" s="54"/>
      <c r="K30" s="55"/>
      <c r="L30" s="54"/>
    </row>
    <row r="31" spans="1:13" x14ac:dyDescent="0.3">
      <c r="E31" s="54"/>
      <c r="F31" s="55"/>
      <c r="G31" s="54"/>
      <c r="H31" s="54"/>
      <c r="I31" s="54"/>
      <c r="J31" s="54"/>
      <c r="K31" s="55"/>
      <c r="L31" s="54"/>
    </row>
    <row r="32" spans="1:13" x14ac:dyDescent="0.3">
      <c r="E32" s="54"/>
      <c r="F32" s="55"/>
      <c r="G32" s="54"/>
      <c r="H32" s="54"/>
      <c r="I32" s="54"/>
      <c r="J32" s="54"/>
      <c r="K32" s="55"/>
      <c r="L32" s="54"/>
    </row>
    <row r="33" spans="5:12" x14ac:dyDescent="0.3">
      <c r="E33" s="54"/>
      <c r="F33" s="55"/>
      <c r="G33" s="54"/>
      <c r="H33" s="54"/>
      <c r="I33" s="54"/>
      <c r="J33" s="54"/>
      <c r="K33" s="55"/>
      <c r="L33" s="54"/>
    </row>
    <row r="34" spans="5:12" x14ac:dyDescent="0.3">
      <c r="E34" s="54"/>
      <c r="F34" s="55"/>
      <c r="G34" s="54"/>
      <c r="H34" s="54"/>
      <c r="I34" s="54"/>
      <c r="J34" s="54"/>
      <c r="K34" s="55"/>
      <c r="L34" s="54"/>
    </row>
    <row r="35" spans="5:12" x14ac:dyDescent="0.3">
      <c r="E35" s="54"/>
      <c r="F35" s="55"/>
      <c r="G35" s="54"/>
      <c r="H35" s="54"/>
      <c r="I35" s="54"/>
      <c r="J35" s="54"/>
      <c r="K35" s="55"/>
      <c r="L35" s="54"/>
    </row>
    <row r="36" spans="5:12" x14ac:dyDescent="0.3">
      <c r="E36" s="54"/>
      <c r="F36" s="55"/>
      <c r="G36" s="54"/>
      <c r="H36" s="54"/>
      <c r="I36" s="54"/>
      <c r="J36" s="54"/>
      <c r="K36" s="55"/>
      <c r="L36" s="54"/>
    </row>
    <row r="37" spans="5:12" x14ac:dyDescent="0.3">
      <c r="E37" s="54"/>
      <c r="F37" s="55"/>
      <c r="G37" s="54"/>
      <c r="H37" s="54"/>
      <c r="I37" s="54"/>
      <c r="J37" s="54"/>
      <c r="K37" s="55"/>
      <c r="L37" s="54"/>
    </row>
    <row r="38" spans="5:12" x14ac:dyDescent="0.3">
      <c r="E38" s="54"/>
      <c r="F38" s="55"/>
      <c r="G38" s="54"/>
      <c r="H38" s="54"/>
      <c r="I38" s="54"/>
      <c r="J38" s="54"/>
      <c r="K38" s="55"/>
      <c r="L38" s="54"/>
    </row>
    <row r="39" spans="5:12" x14ac:dyDescent="0.3">
      <c r="E39" s="54"/>
      <c r="F39" s="55"/>
      <c r="G39" s="54"/>
      <c r="H39" s="54"/>
      <c r="I39" s="54"/>
      <c r="J39" s="54"/>
      <c r="K39" s="55"/>
      <c r="L39" s="54"/>
    </row>
    <row r="40" spans="5:12" x14ac:dyDescent="0.3">
      <c r="E40" s="54"/>
      <c r="F40" s="55"/>
      <c r="G40" s="54"/>
      <c r="H40" s="54"/>
      <c r="I40" s="54"/>
      <c r="J40" s="54"/>
      <c r="K40" s="55"/>
      <c r="L40" s="54"/>
    </row>
    <row r="41" spans="5:12" x14ac:dyDescent="0.3">
      <c r="E41" s="54"/>
      <c r="F41" s="55"/>
      <c r="G41" s="54"/>
      <c r="H41" s="54"/>
      <c r="I41" s="54"/>
      <c r="J41" s="54"/>
      <c r="K41" s="55"/>
      <c r="L41" s="54"/>
    </row>
    <row r="42" spans="5:12" x14ac:dyDescent="0.3">
      <c r="E42" s="54"/>
      <c r="F42" s="55"/>
      <c r="G42" s="54"/>
      <c r="H42" s="54"/>
      <c r="I42" s="54"/>
      <c r="J42" s="54"/>
      <c r="K42" s="55"/>
      <c r="L42" s="54"/>
    </row>
    <row r="43" spans="5:12" x14ac:dyDescent="0.3">
      <c r="E43" s="55"/>
      <c r="F43" s="55"/>
      <c r="G43" s="55"/>
      <c r="H43" s="55"/>
      <c r="I43" s="55"/>
      <c r="J43" s="55"/>
      <c r="K43" s="55"/>
      <c r="L43" s="5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사용법</vt:lpstr>
      <vt:lpstr>테이블목록</vt:lpstr>
      <vt:lpstr>작업순서</vt:lpstr>
      <vt:lpstr>aqt web</vt:lpstr>
      <vt:lpstr>주요테이블</vt:lpstr>
      <vt:lpstr>프로그램</vt:lpstr>
      <vt:lpstr>tcp_http실행구조</vt:lpstr>
      <vt:lpstr>tmax실행구조</vt:lpstr>
      <vt:lpstr>기타환경변수</vt:lpstr>
      <vt:lpstr>Sheet1</vt:lpstr>
      <vt:lpstr>BC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2023-04-05T01:24:54Z</dcterms:created>
  <dcterms:modified xsi:type="dcterms:W3CDTF">2026-03-20T08:53:38Z</dcterms:modified>
</cp:coreProperties>
</file>